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Global Admin" sheetId="2" state="visible" r:id="rId4"/>
    <sheet name="PIC Organization" sheetId="3" state="visible" r:id="rId5"/>
    <sheet name="Legend" sheetId="4" state="visible" r:id="rId6"/>
  </sheets>
  <definedNames>
    <definedName function="false" hidden="true" localSheetId="0" name="_xlnm._FilterDatabase" vbProcedure="false">Summary!$A$30:$T$30</definedName>
    <definedName function="false" hidden="true" localSheetId="1" name="Z_02E81555_B6A6_4CC2_B544_ADD0B1AB76CB_.wvu.FilterData" vbProcedure="false">#REF!</definedName>
    <definedName function="false" hidden="true" localSheetId="1" name="Z_5B9BD8BC_81C6_457C_BEAD_92A0C9698AC7_.wvu.FilterData" vbProcedure="false">#REF!</definedName>
    <definedName function="false" hidden="true" localSheetId="2" name="Z_02E81555_B6A6_4CC2_B544_ADD0B1AB76CB_.wvu.FilterData" vbProcedure="false">#REF!</definedName>
    <definedName function="false" hidden="true" localSheetId="2" name="Z_5B9BD8BC_81C6_457C_BEAD_92A0C9698AC7_.wvu.FilterData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1" authorId="0">
      <text>
        <r>
          <rPr>
            <sz val="10"/>
            <rFont val="Arial"/>
            <family val="2"/>
          </rPr>
          <t xml:space="preserve">Shabrina Rahmah:
Web, Mobile Web, Android TV, Samsung TV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1" authorId="0">
      <text>
        <r>
          <rPr>
            <sz val="10"/>
            <rFont val="Arial"/>
            <family val="2"/>
          </rPr>
          <t xml:space="preserve">Shabrina Rahmah:
Web, Mobile Web, Android TV, Samsung TV</t>
        </r>
      </text>
    </comment>
  </commentList>
</comments>
</file>

<file path=xl/sharedStrings.xml><?xml version="1.0" encoding="utf-8"?>
<sst xmlns="http://schemas.openxmlformats.org/spreadsheetml/2006/main" count="587" uniqueCount="286">
  <si>
    <t xml:space="preserve">SIT Daily Status
Display Hub Development Sprint 5.1 &amp; Sprint 5.2 </t>
  </si>
  <si>
    <t xml:space="preserve">Day 4</t>
  </si>
  <si>
    <t xml:space="preserve">ORIGINAL</t>
  </si>
  <si>
    <t xml:space="preserve">REVISED</t>
  </si>
  <si>
    <t xml:space="preserve">Start</t>
  </si>
  <si>
    <t xml:space="preserve">End</t>
  </si>
  <si>
    <t xml:space="preserve"> End</t>
  </si>
  <si>
    <t xml:space="preserve">Overall Status:</t>
  </si>
  <si>
    <t xml:space="preserve">GREEN</t>
  </si>
  <si>
    <t xml:space="preserve">Total TC's</t>
  </si>
  <si>
    <t xml:space="preserve">PLAN TO DATE </t>
  </si>
  <si>
    <t xml:space="preserve">ACTUAL EXECUTION TO DATE</t>
  </si>
  <si>
    <t xml:space="preserve">Actual vs Planned Executed %</t>
  </si>
  <si>
    <t xml:space="preserve">Plan Executed TC's</t>
  </si>
  <si>
    <t xml:space="preserve">Execution Rate (%)</t>
  </si>
  <si>
    <t xml:space="preserve">Pass Rate (%)</t>
  </si>
  <si>
    <t xml:space="preserve">Executed TC's</t>
  </si>
  <si>
    <t xml:space="preserve">Passed</t>
  </si>
  <si>
    <t xml:space="preserve">Failed</t>
  </si>
  <si>
    <t xml:space="preserve">NA</t>
  </si>
  <si>
    <t xml:space="preserve">Blocked</t>
  </si>
  <si>
    <t xml:space="preserve">DEFECT PENETRATION</t>
  </si>
  <si>
    <t xml:space="preserve">Total Defect</t>
  </si>
  <si>
    <t xml:space="preserve">Penetration Rate (%)</t>
  </si>
  <si>
    <t xml:space="preserve">Critical</t>
  </si>
  <si>
    <t xml:space="preserve">High</t>
  </si>
  <si>
    <t xml:space="preserve">Medium</t>
  </si>
  <si>
    <t xml:space="preserve">Low</t>
  </si>
  <si>
    <t xml:space="preserve">Executive Summary</t>
  </si>
  <si>
    <t xml:space="preserve">Day 2 Internal Test no defect</t>
  </si>
  <si>
    <t xml:space="preserve">    Test Case</t>
  </si>
  <si>
    <t xml:space="preserve">No</t>
  </si>
  <si>
    <t xml:space="preserve">Sprint </t>
  </si>
  <si>
    <t xml:space="preserve">Ticket Story</t>
  </si>
  <si>
    <t xml:space="preserve">Module</t>
  </si>
  <si>
    <t xml:space="preserve">Platform</t>
  </si>
  <si>
    <t xml:space="preserve">Testing Start</t>
  </si>
  <si>
    <t xml:space="preserve">Testing End</t>
  </si>
  <si>
    <t xml:space="preserve">Total TCs</t>
  </si>
  <si>
    <t xml:space="preserve">TC Run</t>
  </si>
  <si>
    <t xml:space="preserve">TC Passed</t>
  </si>
  <si>
    <t xml:space="preserve">TC Failed</t>
  </si>
  <si>
    <t xml:space="preserve">TC NA</t>
  </si>
  <si>
    <t xml:space="preserve">TC Blocked</t>
  </si>
  <si>
    <t xml:space="preserve">TC Not Tested</t>
  </si>
  <si>
    <t xml:space="preserve">Remark</t>
  </si>
  <si>
    <t xml:space="preserve">Status</t>
  </si>
  <si>
    <t xml:space="preserve">Sprint 5.1</t>
  </si>
  <si>
    <t xml:space="preserve">https://snpgroup.atlassian.net/browse/SPPAT-1724</t>
  </si>
  <si>
    <t xml:space="preserve">As an Global Admin, and Super Admin I can view the product industry list so that I can manage and monitor all available master data efficiently</t>
  </si>
  <si>
    <t xml:space="preserve">Web CMS</t>
  </si>
  <si>
    <t xml:space="preserve">https://snpgroup.atlassian.net/browse/SPPAT-1725</t>
  </si>
  <si>
    <t xml:space="preserve">As an Global Admin and Super Admin, I can create Industries, Categories, and Sub-Categories data on the form field page when the data I am searching for is not found</t>
  </si>
  <si>
    <t xml:space="preserve">https://snpgroup.atlassian.net/browse/SPPAT-1741</t>
  </si>
  <si>
    <t xml:space="preserve">As an Global Admin, Super Admin, PIC Organization, I can view the list of user management data so that I can monitor and manage user information effectively</t>
  </si>
  <si>
    <t xml:space="preserve">https://snpgroup.atlassian.net/browse/SPPAT-1748 </t>
  </si>
  <si>
    <t xml:space="preserve">As an Global Admin, Super Admin and PIC Organization, I can create new user management data so that I can register and manage user information within the system</t>
  </si>
  <si>
    <t xml:space="preserve">TOTAL</t>
  </si>
  <si>
    <t xml:space="preserve">Open Defects</t>
  </si>
  <si>
    <t xml:space="preserve">No.</t>
  </si>
  <si>
    <t xml:space="preserve">ID / Ticket JIRA</t>
  </si>
  <si>
    <t xml:space="preserve">Error Description</t>
  </si>
  <si>
    <t xml:space="preserve">Test Case</t>
  </si>
  <si>
    <t xml:space="preserve">Impacted Test Cases</t>
  </si>
  <si>
    <t xml:space="preserve">Severity</t>
  </si>
  <si>
    <t xml:space="preserve">PIC (FE/BE/Mobile)</t>
  </si>
  <si>
    <t xml:space="preserve">Raised Date</t>
  </si>
  <si>
    <t xml:space="preserve">ETA</t>
  </si>
  <si>
    <t xml:space="preserve">Aging</t>
  </si>
  <si>
    <t xml:space="preserve">NOTE</t>
  </si>
  <si>
    <t xml:space="preserve">DEFECT STATUS ONLY CAN BE CLOSED UNTIL RETEST COMPLETED AND RESULT VALIDATED BY TOWER OR BUSINESS USER</t>
  </si>
  <si>
    <t xml:space="preserve">    Execution Details</t>
  </si>
  <si>
    <t xml:space="preserve">DAY</t>
  </si>
  <si>
    <t xml:space="preserve">Per Day</t>
  </si>
  <si>
    <t xml:space="preserve">Accumulated (Total)</t>
  </si>
  <si>
    <t xml:space="preserve">Execution Date</t>
  </si>
  <si>
    <t xml:space="preserve">Plan Execution</t>
  </si>
  <si>
    <t xml:space="preserve">Plan Passed</t>
  </si>
  <si>
    <t xml:space="preserve">Recovery Plan</t>
  </si>
  <si>
    <t xml:space="preserve">Recovery Pass</t>
  </si>
  <si>
    <t xml:space="preserve">% Plan Execution</t>
  </si>
  <si>
    <t xml:space="preserve">% Plan Passed</t>
  </si>
  <si>
    <t xml:space="preserve">Actual</t>
  </si>
  <si>
    <t xml:space="preserve">% Actual</t>
  </si>
  <si>
    <t xml:space="preserve">Remaining</t>
  </si>
  <si>
    <t xml:space="preserve">Passed+NA=</t>
  </si>
  <si>
    <t xml:space="preserve">Passed+Failed+NA=</t>
  </si>
  <si>
    <t xml:space="preserve">Pass Rate=</t>
  </si>
  <si>
    <t xml:space="preserve">DO NOT CHANGE THE FORMULA</t>
  </si>
  <si>
    <t xml:space="preserve">PROJECT STATUS</t>
  </si>
  <si>
    <t xml:space="preserve">Execution rate and pass rate match or better than plan </t>
  </si>
  <si>
    <t xml:space="preserve">AMBER</t>
  </si>
  <si>
    <t xml:space="preserve">Execution rate or pass rate lower than plan</t>
  </si>
  <si>
    <t xml:space="preserve">RED</t>
  </si>
  <si>
    <t xml:space="preserve">Execution rate and pass rate lower than plan</t>
  </si>
  <si>
    <t xml:space="preserve">END DATE STATUS (ORIGINAL/REVISED)</t>
  </si>
  <si>
    <t xml:space="preserve">[DATE]</t>
  </si>
  <si>
    <t xml:space="preserve">NO</t>
  </si>
  <si>
    <t xml:space="preserve">SPRINT</t>
  </si>
  <si>
    <t xml:space="preserve">TC_ID</t>
  </si>
  <si>
    <t xml:space="preserve">LINK STORY</t>
  </si>
  <si>
    <t xml:space="preserve">FEATURE / SUITE</t>
  </si>
  <si>
    <t xml:space="preserve">ROLE USER</t>
  </si>
  <si>
    <t xml:space="preserve">PLATFORM</t>
  </si>
  <si>
    <t xml:space="preserve">TEST CASE</t>
  </si>
  <si>
    <t xml:space="preserve">PRECONDITIONS</t>
  </si>
  <si>
    <t xml:space="preserve">STEPS</t>
  </si>
  <si>
    <t xml:space="preserve">DATA</t>
  </si>
  <si>
    <t xml:space="preserve">EXPECTED</t>
  </si>
  <si>
    <t xml:space="preserve">BEHAVIOUR</t>
  </si>
  <si>
    <t xml:space="preserve">PRIORITY</t>
  </si>
  <si>
    <t xml:space="preserve">SEVERITY</t>
  </si>
  <si>
    <t xml:space="preserve">COMPLEXITY</t>
  </si>
  <si>
    <t xml:space="preserve">TYPE</t>
  </si>
  <si>
    <t xml:space="preserve">ACTUAL RESULT</t>
  </si>
  <si>
    <t xml:space="preserve">REMARKS</t>
  </si>
  <si>
    <t xml:space="preserve">DATE</t>
  </si>
  <si>
    <t xml:space="preserve">PIC TESTER</t>
  </si>
  <si>
    <t xml:space="preserve">EVIDENCE SIT</t>
  </si>
  <si>
    <t xml:space="preserve">Evidence Internal Test</t>
  </si>
  <si>
    <t xml:space="preserve">Automate/Manual</t>
  </si>
  <si>
    <t xml:space="preserve">TC ID - 06</t>
  </si>
  <si>
    <t xml:space="preserve">Global Admin</t>
  </si>
  <si>
    <t xml:space="preserve">Global admin can search data Product Industry</t>
  </si>
  <si>
    <t xml:space="preserve">* User already login as Global Admin
* User opened Product Industry page</t>
  </si>
  <si>
    <t xml:space="preserve">* Input character on search column
* Press button Enter from keyboard</t>
  </si>
  <si>
    <t xml:space="preserve">rules :
* must press enter button from keyboard
* min 3 character for search
* can input for example SABUN, Sabun, SAbun, sabun (not case sensitive)</t>
  </si>
  <si>
    <t xml:space="preserve">* Success input character
* Success show the result</t>
  </si>
  <si>
    <t xml:space="preserve">Positive</t>
  </si>
  <si>
    <t xml:space="preserve">Normal</t>
  </si>
  <si>
    <t xml:space="preserve">Functional</t>
  </si>
  <si>
    <t xml:space="preserve">Miftha</t>
  </si>
  <si>
    <t xml:space="preserve">TC ID - 07</t>
  </si>
  <si>
    <t xml:space="preserve">Global admin input character on column search less than 3 character</t>
  </si>
  <si>
    <t xml:space="preserve">* Already login as Global Admin
* Already on Product Industry page</t>
  </si>
  <si>
    <t xml:space="preserve">* Input less than 3 character on column search
* Press enter button on your keyboard</t>
  </si>
  <si>
    <t xml:space="preserve">Example : 
* Have keyword SABUN and then input character only S or S.A on column search</t>
  </si>
  <si>
    <t xml:space="preserve">Cannot search the keyword with less than 3 character and the result cannot shown</t>
  </si>
  <si>
    <t xml:space="preserve">Negative</t>
  </si>
  <si>
    <t xml:space="preserve">TC ID - 08</t>
  </si>
  <si>
    <t xml:space="preserve">Global Admin can filter on dropdown field</t>
  </si>
  <si>
    <t xml:space="preserve">* Click filter dropdown beside search column
* Select the option based on list</t>
  </si>
  <si>
    <t xml:space="preserve">* -
* -</t>
  </si>
  <si>
    <t xml:space="preserve">* Open the dropdown and show the list on dropdown
* Success selected option and show result based on filter</t>
  </si>
  <si>
    <t xml:space="preserve">TC ID - 09</t>
  </si>
  <si>
    <t xml:space="preserve">Global admin can't  search data Product Industry</t>
  </si>
  <si>
    <t xml:space="preserve">* Input character on search column with invalid data
* Press button Enter from keyboard</t>
  </si>
  <si>
    <t xml:space="preserve">* example : 1@!&amp;%&amp;*!</t>
  </si>
  <si>
    <t xml:space="preserve">* Success input character
* Success show the result data not found
* Success showed snackbar "Industry search term contains invalid characters"</t>
  </si>
  <si>
    <t xml:space="preserve">
1@@!#$@ -&gt; 
"Industry search term contains invalid characters"
1@!&amp;%&amp;*# -&gt; "Internal Server Error"
1@!&amp;%&amp;*! -&gt; "Internal Server Error"</t>
  </si>
  <si>
    <t xml:space="preserve">TC ID - 10</t>
  </si>
  <si>
    <t xml:space="preserve">Global admin can view list of button elipsis on Action Column</t>
  </si>
  <si>
    <t xml:space="preserve">* Click kebab menu on Action Column</t>
  </si>
  <si>
    <t xml:space="preserve">* Show 2 buttons, there are Edit &amp; Delete on kebab menu</t>
  </si>
  <si>
    <t xml:space="preserve">TC ID - 11</t>
  </si>
  <si>
    <t xml:space="preserve">Global Admin can filter with result data not found</t>
  </si>
  <si>
    <t xml:space="preserve">Data on list has been deleted before</t>
  </si>
  <si>
    <t xml:space="preserve">* Open the dropdown and show the list on dropdown
* Success selected option and show result data not found</t>
  </si>
  <si>
    <t xml:space="preserve">TC ID - 12</t>
  </si>
  <si>
    <t xml:space="preserve">Global Admin can view and select list dropdown data "Industry, Category, Sub Category" that has been added from system (BE) on Product Industry page</t>
  </si>
  <si>
    <t xml:space="preserve">* User is already login as Global Admin and accessed "Product Industry" menu
* Makesure system already added data "Industry, Category, Sub Category"</t>
  </si>
  <si>
    <t xml:space="preserve">* Click button "Create Product Industry +"
* Click dropdown "Industry"
* Select one of list dropdown "Industry"
* Click dropdown "Category"
* Select one of list dropdown "Category"
* Click dropdown "Sub Category"
* Select one of list dropdown "Sub Category"</t>
  </si>
  <si>
    <t xml:space="preserve">* -
* -
* ex: Food &amp; Beverages
* -
* ex: Asian Food
* -
* ex: Main Course</t>
  </si>
  <si>
    <t xml:space="preserve">* Successfully display pop-up "Create Product Industry". On the pop-up display enable dropdown "Industry" (mandatory field), disable dropdown "Category" (mandatory field), disable dropdown "Sub Category" (mandatory field), textarea Product Example (non mandatory).
* Successfully display list Industry from system with search bar
* Successfully selected list dropdown "Industry", then display dropdown "Category" enable.
* Successfully display list Category from system with search bar
* Successfully selected list dropdown "Category", then display dropdown "Sub Category" enable.
* Successfully display list Sub Category from system
* Successfully selected list dropdown "Sub Category"</t>
  </si>
  <si>
    <t xml:space="preserve">Major</t>
  </si>
  <si>
    <t xml:space="preserve">TC ID - 13</t>
  </si>
  <si>
    <t xml:space="preserve">Global Admin can search data Product Industry only 3 character "Industry, Category, Sub Category" using existing data from system</t>
  </si>
  <si>
    <t xml:space="preserve">* Click button "Create Product Industry +"
* Click dropdown "Industry"
* Type on search bar "Industry" with 3 char
* Press "Enter" on keyboard
* Select one of list dropdown "Industry"
* Click dropdown "Category"
* Type on search bar "Category" with 3 char
* Press "Enter" on keyboard
* Select one of list dropdown "Category"
* Click dropdown "Sub Category"
* Type on search bar "Category" with 3 char
* Press "Enter" on keyboard
* Select one of list dropdown "Sub Category"</t>
  </si>
  <si>
    <t xml:space="preserve">* -
* -
* ex: Foo
* -
* ex: Food &amp; Beverages
* -
* ex: Asi
* -
* ex: Asian Food
* -
* ex: Mai
* -
* ex: Main Course</t>
  </si>
  <si>
    <t xml:space="preserve">* Successfully display pop-up "Create Product Industry". On the pop-up display enable dropdown "Industry" (mandatory field), disable dropdown "Category" (mandatory field), disable dropdown "Sub Category" (mandatory field), textarea Product Example (non mandatory).
* Successfully display list Industry from system with search bar
* Successfully type on search bar with 3 char
* Successfully display suggestion search based on keyword
* Successfully selected list dropdown "Industry", then display dropdown "Industry" enable.
* Successfully display list Category from system with search bar
* Successfully type on search bar with 3 char
* Successfully display suggestion search based on keyword
* Successfully selected list dropdown "Category", then display dropdown "Sub Category" enable.
* Successfully display list Sub Category from system with search bar
* Successfully type on search bar with 3 char
* Successfully display suggestion search based on keyword
* Successfully selected list dropdown "Sub Category"</t>
  </si>
  <si>
    <t xml:space="preserve">TC ID - 14</t>
  </si>
  <si>
    <t xml:space="preserve">Global Admin cannot search data Product Industry because system not found the result if search only 3 character "Industry, Category, Sub Category" on Product Industry </t>
  </si>
  <si>
    <t xml:space="preserve">* -
* -
* ex: Foo
* -
* -
* ex: Asi
* -
* -
* -
* ex: Mai
* -
* -</t>
  </si>
  <si>
    <t xml:space="preserve">* Successfully display pop-up "Create Product Industry". On the pop-up display enable dropdown "Industry" (mandatory field), disable dropdown "Category" (mandatory field), disable dropdown "Sub Category" (mandatory field), textarea Product Example (non mandatory).
* Successfully display list Industry from system with search bar
* Successfully type on search bar with 3 char
* Successfully display result not found and in the new line display "keyword" and button "+ Add New Data"
* Successfully selected list dropdown "Industry", then display dropdown "Industry" enable.
* Successfully display list Category from system with search bar
* Successfully type on search bar with 3 char
* Successfully display result not found and in the new line display "keyword" and button "+ Add New Data"
* Successfully selected list dropdown "Category", then display dropdown "Sub Category" enable.
* Successfully display list Sub Category from system with search bar
* Successfully type on search bar with 3 char
* Successfully display result not found and in the new line display "keyword" and button "+ Add New Data"</t>
  </si>
  <si>
    <t xml:space="preserve">TC ID - 15</t>
  </si>
  <si>
    <t xml:space="preserve">Global Admin cannot search data Product Industry because system not found the result if search more than 3 character "Industry, Category, Sub Category" on Product Industry </t>
  </si>
  <si>
    <t xml:space="preserve">* Click button "Create Product Industry +"
* Click dropdown "Industry"
* Type on search bar "Industry" with more than 3 char
* Press "Enter" on keyboard
* Select one of list dropdown "Industry"
* Click dropdown "Category"
* Type on search bar "Category" with more than 3 char
* Press "Enter" on keyboard
* Select one of list dropdown "Category"
* Click dropdown "Sub Category"
* Type on search bar "Category" with more than 3 char
* Press "Enter" on keyboard</t>
  </si>
  <si>
    <t xml:space="preserve">* -
* -
* ex: Food
* -
* -
* ex: Asia
* -
* -
* -
* ex: Main
* -
* -</t>
  </si>
  <si>
    <t xml:space="preserve">* Successfully display pop-up "Create Product Industry". On the pop-up display enable dropdown "Industry" (mandatory field), disable dropdown "Category" (mandatory field), disable dropdown "Sub Category" (mandatory field), textarea Product Example (non mandatory).
* Successfully display list Industry from system with search bar
* Successfully type on search bar with more than 3 char
* Successfully display result not found and in the new line display "keyword" and button "+ Add New Data"
* Successfully selected list dropdown "Industry", then display dropdown "Industry" enable.
* Successfully display list Category from system with search bar
* Successfully type on search bar with more than 3 char
* Successfully display result not found and in the new line display "keyword" and button "+ Add New Data"
* Successfully selected list dropdown "Category", then display dropdown "Sub Category" enable.
* Successfully display list Sub Category from system with search bar
* Successfully type on search bar with more than 3 char
* Successfully display result not found and in the new line display "keyword" and button "+ Add New Data"</t>
  </si>
  <si>
    <t xml:space="preserve">TC ID - 222</t>
  </si>
  <si>
    <t xml:space="preserve">PIC Organization</t>
  </si>
  <si>
    <t xml:space="preserve">PIC Organization  click settings button on detail Organization page</t>
  </si>
  <si>
    <t xml:space="preserve">* User already login as PIC Organization</t>
  </si>
  <si>
    <t xml:space="preserve">* Click "Organization Management" menu
* Click 1 of Organization on the list
* Click Setting icon
* Hoover information icon
* Click "Cancel" button</t>
  </si>
  <si>
    <t xml:space="preserve">* -
* -
* -
* -
* -</t>
  </si>
  <si>
    <t xml:space="preserve">* Redirect to Organization Management page
* Redirect to detail Organization
* Show pup up setting organization
* Show information "1 Slot is 1 Minutes set your total slots, and the system multiplies them by your showtimes. Example: Insert 20 Slot x 1 Minutes = 20 Minutes campaign in 1 day"
* Close pop up</t>
  </si>
  <si>
    <t xml:space="preserve">Meriyan Dwi Prakosa</t>
  </si>
  <si>
    <t xml:space="preserve">PIC Org TC ID 222.mp4</t>
  </si>
  <si>
    <t xml:space="preserve">TC ID - 223</t>
  </si>
  <si>
    <t xml:space="preserve">PIC Organization do Search based on Name and Email &amp; Filter based on All Role</t>
  </si>
  <si>
    <t xml:space="preserve">* User already login as PIC Organization
* User already on Organization Management page.
* User already on Detail Organization page.</t>
  </si>
  <si>
    <t xml:space="preserve">* Search on Search bar
* Delete all keyword on search bar
* Click "All Status" dropdown filter
* Choose 1 dropdown option</t>
  </si>
  <si>
    <t xml:space="preserve">* Min 3 Char
* -
* PIC Organization, content creator, device operator, admin organization
* PIC Organization, content creator, device operator, admin organization</t>
  </si>
  <si>
    <t xml:space="preserve">* Show search filter ,based on Name and Email name.
* Show all Data without any filter
* Show dropdown
* Show filtered based on Role Dropdown</t>
  </si>
  <si>
    <t xml:space="preserve">PIC Org TC ID 223.mp4</t>
  </si>
  <si>
    <t xml:space="preserve">TC ID - 224</t>
  </si>
  <si>
    <t xml:space="preserve">PIC Organization click detail organization menu, but no data is displayed yet</t>
  </si>
  <si>
    <t xml:space="preserve">* User already login as PIC Organization
* There is no data on Detail Organization</t>
  </si>
  <si>
    <t xml:space="preserve">* Click "Organization Management" menu</t>
  </si>
  <si>
    <t xml:space="preserve">* -</t>
  </si>
  <si>
    <t xml:space="preserve">* 'The system will display a message: User empty. No data entry"</t>
  </si>
  <si>
    <t xml:space="preserve">TC ID - 225</t>
  </si>
  <si>
    <t xml:space="preserve">PIC Organization click detail organization menu ,and search null data</t>
  </si>
  <si>
    <t xml:space="preserve">* User already login as PIC Organization
* User already on Detail Organization</t>
  </si>
  <si>
    <t xml:space="preserve">* Search null data on searchbar</t>
  </si>
  <si>
    <t xml:space="preserve">* 'The system will display a message: 'Data Not Found, Data Empty"</t>
  </si>
  <si>
    <t xml:space="preserve">PIC Org TC ID 225.mp4</t>
  </si>
  <si>
    <t xml:space="preserve">TC ID - 226</t>
  </si>
  <si>
    <t xml:space="preserve">https://snpgroup.atlassian.net/browse/SPPAT-1748</t>
  </si>
  <si>
    <t xml:space="preserve">PIC Organization Create user on Organization Management</t>
  </si>
  <si>
    <t xml:space="preserve">* PIC Organization already login as PIC Organization
* PIC Organization already on Organization Management page
* PIC Organization already choose 1 organization of data list</t>
  </si>
  <si>
    <t xml:space="preserve">* Click "Create User +" button
* Input Fullname
* Input Email
* Select User Role
* Input Password
* Input Re-Password
* Switch toggle Status User
* Hoover pointer to information "i" icon
* Click "Create User" button</t>
  </si>
  <si>
    <t xml:space="preserve">* -
* Char max 254
* Mandatory "@", Char max 254
* Content creator, Device Operator, Admin Organization
* Min 8 Char,Max 20 Char, contain at least one uppercase letter, one number, and one special character.
* Min 8 Char, Max 20 Char, contain at least one uppercase letter, one number, and one special character.
* On/Off
* -
* -</t>
  </si>
  <si>
    <t xml:space="preserve">* Show Create User form
* Successfully inputted to textbox
* Successfully inputted to textbox
* Successfully Choose the dropdown
* Successfully inputted to textbox
* Successfully inputted to textbox
* Successfully installed the toggle status
* Show information about the toggle
* Successfully created the user and show snackbar "user created successfully"</t>
  </si>
  <si>
    <t xml:space="preserve">PIC Org TC ID 226.mp4</t>
  </si>
  <si>
    <t xml:space="preserve">TC ID - 227</t>
  </si>
  <si>
    <t xml:space="preserve">PIC Organization can't Create user on Organization Management if password and re-password not match</t>
  </si>
  <si>
    <t xml:space="preserve">* Click "Create User +" button
* Input Fullname
* Input Email
* Select User Role
* Input Password
* Click eye icon
* Input Different Re-Password
* Click eye icon</t>
  </si>
  <si>
    <t xml:space="preserve">* -
* Char max 254
* Mandatory "@", Char max 254
* Content creator, Device Operator, Admin Organization
* Min 8 Char,Max 20 Char, contain at least one uppercase letter, one number, and one special character.
* -
* Min 8 Char,Max 20 Char, contain at least one uppercase letter, one number, and one special character.
* -</t>
  </si>
  <si>
    <t xml:space="preserve">* Show Create User form
* Successfully inputted to textbox
* Successfully inputted to textbox
* Successfully Choose the dropdown
* Successfully inputted to textbox
* Show or hide text on textbox
* the indicator turns red. 
* Show or hide text on textbox</t>
  </si>
  <si>
    <t xml:space="preserve">PIC Org TC ID 227.mp4</t>
  </si>
  <si>
    <t xml:space="preserve">TC ID - 228</t>
  </si>
  <si>
    <t xml:space="preserve">PIC Organization can't Create user on Organization Management when the Email already registered</t>
  </si>
  <si>
    <t xml:space="preserve">* Click "Create User +" button
* Input Fullname
* Input Email that already registered
* Select User Role
* Input Password
* Input Re-Password
* Switch toggle Status User
* Click "Create User" button</t>
  </si>
  <si>
    <t xml:space="preserve">* -
* Char max 254
* Mandatory "@", Char max 254
* Content creator, Device Operator, Admin Organization
* Min 8 Char,Max 20 Char, contain at least one uppercase letter, one number, and one special character.
* Min 8 Char,Max 20 Char, contain at least one uppercase letter, one number, and one special character.
* On/Off
* -</t>
  </si>
  <si>
    <t xml:space="preserve">* Show Create User form
* Successfully inputted to textbox
* Successfully inputted to textbox
* Successfully Choose the dropdown
* Successfully inputted to textbox
* Successfully inputted to textbox
* Successfully installed the toggle status
* System display alert snaclbar information "User with email 'userclient@gmail.com' already exists"</t>
  </si>
  <si>
    <t xml:space="preserve">PIC Org TC ID 228.mp4</t>
  </si>
  <si>
    <t xml:space="preserve">TC ID - 229</t>
  </si>
  <si>
    <t xml:space="preserve">PIC Organization can't Create user on Organization Management when lost connection</t>
  </si>
  <si>
    <t xml:space="preserve">* PIC Organization already login as PIC Organization
* PIC Organization already on Organization Management page
* PIC Organization already choose 1 organization of data list
* Not connect to internet</t>
  </si>
  <si>
    <t xml:space="preserve">* Show Create User form
* Successfully inputted to textbox
* Successfully inputted to textbox
* Successfully Choose the dropdown
* Successfully inputted to textbox
* Successfully inputted to textbox
* Successfully installed the toggle status
* System display alert information "User created failed"</t>
  </si>
  <si>
    <t xml:space="preserve">PIC Org TC ID 229.mp4</t>
  </si>
  <si>
    <t xml:space="preserve">TC ID - 230</t>
  </si>
  <si>
    <t xml:space="preserve">PIC Organization can't Create user on Organization Management when internal server error</t>
  </si>
  <si>
    <t xml:space="preserve">* PIC Organization already login as PIC Organization
* PIC Organization already on Organization Management page
* PIC Organization already choose 1 organization of data list
* Server unavailable</t>
  </si>
  <si>
    <t xml:space="preserve">TC ID - 231</t>
  </si>
  <si>
    <t xml:space="preserve">PIC Organization cannot save the form when it has been closed</t>
  </si>
  <si>
    <t xml:space="preserve">* Click "Create User +" button
* Input Fullname
* Input Email
* Select User Role
* Input Password
* Input Re-Password
* Switch toggle Status User
* Hoover pointer to information "i" icon
* Click "Cancel" button
* Click "Create User +" button</t>
  </si>
  <si>
    <t xml:space="preserve">* -
* Char max 254
* Mandatory "@", Char max 254
* Content creator, Device Operator, Admin Organization
* Min 8 Char,Max 20 Char, contain at least one uppercase letter, one number, and one special character.
* Min 8 Char, Max 20 Char, contain at least one uppercase letter, one number, and one special character.
* On/Off
* -
* -
* -</t>
  </si>
  <si>
    <t xml:space="preserve">* Show Create User form
* Successfully inputted to textbox
* Successfully inputted to textbox
* Successfully Choose the dropdown
* Successfully inputted to textbox
* Successfully inputted to textbox
* Successfully installed the toggle status
* Show information about the toggle
* Closed the form
* . Show blank Create User form</t>
  </si>
  <si>
    <t xml:space="preserve">PIC Org TC ID 231.mp4</t>
  </si>
  <si>
    <t xml:space="preserve">Filename</t>
  </si>
  <si>
    <t xml:space="preserve">This file excel name should be [CRQ number]_[anything]</t>
  </si>
  <si>
    <t xml:space="preserve">CRQ number refer to CRQ in Selena/ Remedy, anything free as necessary</t>
  </si>
  <si>
    <t xml:space="preserve">sample: CRQ000000407740_VAS Code-Arief Setiawan</t>
  </si>
  <si>
    <t xml:space="preserve">sheet Template Test Case</t>
  </si>
  <si>
    <t xml:space="preserve">could be rename to group of test case, e.g TC Kartu Halo, TC Modul A, etc</t>
  </si>
  <si>
    <t xml:space="preserve">sheet Template Defect</t>
  </si>
  <si>
    <t xml:space="preserve">could be rename to group of defect, e.g Defect Kartu Halo, Defect Modul A, etc</t>
  </si>
  <si>
    <t xml:space="preserve">sheet Legend</t>
  </si>
  <si>
    <t xml:space="preserve">sheet that explain how to read this file</t>
  </si>
  <si>
    <t xml:space="preserve">Template Test Case</t>
  </si>
  <si>
    <t xml:space="preserve">Plan Execution Date</t>
  </si>
  <si>
    <t xml:space="preserve">plan execution date for test case</t>
  </si>
  <si>
    <t xml:space="preserve">name of the test case, for easy reference</t>
  </si>
  <si>
    <t xml:space="preserve">Description Test Case</t>
  </si>
  <si>
    <t xml:space="preserve">long description of the test case</t>
  </si>
  <si>
    <t xml:space="preserve">System Related</t>
  </si>
  <si>
    <t xml:space="preserve">surrounding system</t>
  </si>
  <si>
    <t xml:space="preserve">Step</t>
  </si>
  <si>
    <t xml:space="preserve">detail step number of a test case</t>
  </si>
  <si>
    <t xml:space="preserve">Step Description</t>
  </si>
  <si>
    <t xml:space="preserve">description of a step of a test case</t>
  </si>
  <si>
    <t xml:space="preserve">Expected Result</t>
  </si>
  <si>
    <t xml:space="preserve">expected result of a test case, make it as clear as possible</t>
  </si>
  <si>
    <t xml:space="preserve">Actual Execution Date</t>
  </si>
  <si>
    <t xml:space="preserve">actual execution date with team testing</t>
  </si>
  <si>
    <t xml:space="preserve">Status Test Case</t>
  </si>
  <si>
    <t xml:space="preserve">status of this test case, choice: No Run, Hold, Invalid, Passed, Failed</t>
  </si>
  <si>
    <t xml:space="preserve">Actual Result</t>
  </si>
  <si>
    <t xml:space="preserve">currect result/ final result of a test case</t>
  </si>
  <si>
    <t xml:space="preserve">level severity of a test case, refer to TRA/ Test Strategy of this test CRQ, choice: Critical, High, Medium, Low</t>
  </si>
  <si>
    <t xml:space="preserve">Cycle</t>
  </si>
  <si>
    <t xml:space="preserve">increasing number to show how many this test case have been reiterate, e.g 1, 2, 3, etc</t>
  </si>
  <si>
    <t xml:space="preserve">Notes</t>
  </si>
  <si>
    <t xml:space="preserve">additional notes, as necessary</t>
  </si>
  <si>
    <t xml:space="preserve">Template Defect</t>
  </si>
  <si>
    <r>
      <rPr>
        <b val="true"/>
        <sz val="11"/>
        <color theme="1"/>
        <rFont val="Calibri"/>
        <family val="2"/>
        <charset val="1"/>
      </rPr>
      <t xml:space="preserve">leave empty for now, </t>
    </r>
    <r>
      <rPr>
        <sz val="11"/>
        <color theme="1"/>
        <rFont val="Calibri"/>
        <family val="2"/>
        <charset val="1"/>
      </rPr>
      <t xml:space="preserve">name of the test case, for easy reference, foreign key from test case table</t>
    </r>
  </si>
  <si>
    <r>
      <rPr>
        <b val="true"/>
        <sz val="11"/>
        <color theme="1"/>
        <rFont val="Calibri"/>
        <family val="2"/>
        <charset val="1"/>
      </rPr>
      <t xml:space="preserve">leave empty for now, </t>
    </r>
    <r>
      <rPr>
        <sz val="11"/>
        <color theme="1"/>
        <rFont val="Calibri"/>
        <family val="2"/>
        <charset val="1"/>
      </rPr>
      <t xml:space="preserve">detail step number of a test case, foreign key from test case table</t>
    </r>
  </si>
  <si>
    <t xml:space="preserve">Severity Defect</t>
  </si>
  <si>
    <t xml:space="preserve">priority of the defect, choice: Critical, Very High, High, Medium, Low</t>
  </si>
  <si>
    <t xml:space="preserve">Defect Description</t>
  </si>
  <si>
    <t xml:space="preserve">description of the defect</t>
  </si>
  <si>
    <t xml:space="preserve">Status Defect</t>
  </si>
  <si>
    <t xml:space="preserve">status of the defect, choice: New, Open, Deferred, Rejected, Closed</t>
  </si>
  <si>
    <t xml:space="preserve">additional notes, optional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</si>
</sst>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[$-409]d\-mmm\-yyyy"/>
    <numFmt numFmtId="166" formatCode="d/m/yyyy"/>
    <numFmt numFmtId="167" formatCode="0%"/>
    <numFmt numFmtId="168" formatCode="0"/>
    <numFmt numFmtId="169" formatCode="0.00%"/>
    <numFmt numFmtId="170" formatCode="d\-mmm\-yy"/>
    <numFmt numFmtId="171" formatCode="dd\-mm\-yyyy"/>
  </numFmts>
  <fonts count="41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4"/>
      <color theme="0"/>
      <name val="Calibri"/>
      <family val="2"/>
      <charset val="1"/>
    </font>
    <font>
      <sz val="11"/>
      <color theme="1"/>
      <name val="Calibri"/>
      <family val="2"/>
      <charset val="1"/>
    </font>
    <font>
      <b val="true"/>
      <sz val="12"/>
      <color rgb="FFFFFFFF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16"/>
      <color theme="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b val="true"/>
      <sz val="16"/>
      <color rgb="FF366092"/>
      <name val="Calibri"/>
      <family val="2"/>
      <charset val="1"/>
    </font>
    <font>
      <b val="true"/>
      <sz val="14"/>
      <color rgb="FF366092"/>
      <name val="Calibri"/>
      <family val="2"/>
      <charset val="1"/>
    </font>
    <font>
      <b val="true"/>
      <sz val="14"/>
      <color rgb="FF1F497D"/>
      <name val="Calibri"/>
      <family val="2"/>
      <charset val="1"/>
    </font>
    <font>
      <b val="true"/>
      <sz val="16"/>
      <color rgb="FF1F497D"/>
      <name val="Calibri"/>
      <family val="2"/>
      <charset val="1"/>
    </font>
    <font>
      <sz val="16"/>
      <color theme="1"/>
      <name val="Calibri"/>
      <family val="2"/>
      <charset val="1"/>
    </font>
    <font>
      <b val="true"/>
      <i val="true"/>
      <sz val="12"/>
      <color rgb="FF000000"/>
      <name val="Calibri"/>
      <family val="2"/>
      <charset val="1"/>
    </font>
    <font>
      <b val="true"/>
      <sz val="12"/>
      <color theme="0"/>
      <name val="Calibri"/>
      <family val="2"/>
      <charset val="1"/>
    </font>
    <font>
      <b val="true"/>
      <sz val="11"/>
      <color rgb="FF444444"/>
      <name val="Calibri"/>
      <family val="0"/>
      <charset val="1"/>
    </font>
    <font>
      <i val="true"/>
      <sz val="11"/>
      <color rgb="FF444444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theme="0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sz val="10"/>
      <color theme="1"/>
      <name val="Aptos Narrow"/>
      <family val="0"/>
      <charset val="1"/>
    </font>
    <font>
      <sz val="11"/>
      <color rgb="FF000000"/>
      <name val="Calibri"/>
      <family val="2"/>
      <charset val="1"/>
    </font>
    <font>
      <i val="true"/>
      <sz val="11"/>
      <color theme="1"/>
      <name val="Calibri"/>
      <family val="2"/>
      <charset val="1"/>
    </font>
    <font>
      <sz val="11"/>
      <color theme="1"/>
      <name val="Aptos Narrow"/>
      <family val="0"/>
      <charset val="1"/>
    </font>
    <font>
      <u val="single"/>
      <sz val="11"/>
      <color rgb="FF0000FF"/>
      <name val="Calibri"/>
      <family val="2"/>
      <charset val="1"/>
    </font>
    <font>
      <sz val="10"/>
      <color theme="1"/>
      <name val="Arial"/>
      <family val="2"/>
      <charset val="1"/>
    </font>
    <font>
      <sz val="11"/>
      <color rgb="FF444444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4"/>
      <color rgb="FFFF0000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sz val="11"/>
      <color theme="1"/>
      <name val="Roboto"/>
      <family val="0"/>
      <charset val="1"/>
    </font>
    <font>
      <sz val="10"/>
      <name val="Arial"/>
      <family val="2"/>
    </font>
    <font>
      <u val="single"/>
      <sz val="11"/>
      <color theme="10"/>
      <name val="Calibri"/>
      <family val="0"/>
      <charset val="1"/>
    </font>
  </fonts>
  <fills count="24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theme="4"/>
        <bgColor rgb="FF548DD4"/>
      </patternFill>
    </fill>
    <fill>
      <patternFill patternType="solid">
        <fgColor theme="7"/>
        <bgColor rgb="FF7F7F7F"/>
      </patternFill>
    </fill>
    <fill>
      <patternFill patternType="solid">
        <fgColor rgb="FF1F4E79"/>
        <bgColor rgb="FF1F497D"/>
      </patternFill>
    </fill>
    <fill>
      <patternFill patternType="solid">
        <fgColor rgb="FFA6A6A6"/>
        <bgColor rgb="FFA5A5A5"/>
      </patternFill>
    </fill>
    <fill>
      <patternFill patternType="solid">
        <fgColor rgb="FF00B050"/>
        <bgColor rgb="FF008000"/>
      </patternFill>
    </fill>
    <fill>
      <patternFill patternType="solid">
        <fgColor rgb="FFFFFFFF"/>
        <bgColor rgb="FFF2F2F2"/>
      </patternFill>
    </fill>
    <fill>
      <patternFill patternType="solid">
        <fgColor theme="1"/>
        <bgColor rgb="FF003300"/>
      </patternFill>
    </fill>
    <fill>
      <patternFill patternType="solid">
        <fgColor rgb="FF17365D"/>
        <bgColor rgb="FF1F497D"/>
      </patternFill>
    </fill>
    <fill>
      <patternFill patternType="solid">
        <fgColor rgb="FF7F7F7F"/>
        <bgColor rgb="FF8064A2"/>
      </patternFill>
    </fill>
    <fill>
      <patternFill patternType="solid">
        <fgColor rgb="FF8DB3E2"/>
        <bgColor rgb="FFA6A6A6"/>
      </patternFill>
    </fill>
    <fill>
      <patternFill patternType="solid">
        <fgColor rgb="FFDBE5F1"/>
        <bgColor rgb="FFD9D9D9"/>
      </patternFill>
    </fill>
    <fill>
      <patternFill patternType="solid">
        <fgColor rgb="FFD8D8D8"/>
        <bgColor rgb="FFD9D9D9"/>
      </patternFill>
    </fill>
    <fill>
      <patternFill patternType="solid">
        <fgColor rgb="FFC00000"/>
        <bgColor rgb="FFFF0000"/>
      </patternFill>
    </fill>
    <fill>
      <patternFill patternType="solid">
        <fgColor rgb="FFD9D9D9"/>
        <bgColor rgb="FFD8D8D8"/>
      </patternFill>
    </fill>
    <fill>
      <patternFill patternType="solid">
        <fgColor rgb="FFF2F2F2"/>
        <bgColor rgb="FFFFFFFF"/>
      </patternFill>
    </fill>
    <fill>
      <patternFill patternType="solid">
        <fgColor rgb="FF366092"/>
        <bgColor rgb="FF1F4E79"/>
      </patternFill>
    </fill>
    <fill>
      <patternFill patternType="solid">
        <fgColor rgb="FFD99594"/>
        <bgColor rgb="FFFF99C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C00000"/>
      </patternFill>
    </fill>
    <fill>
      <patternFill patternType="solid">
        <fgColor rgb="FF00B0F0"/>
        <bgColor rgb="FF31859B"/>
      </patternFill>
    </fill>
    <fill>
      <patternFill patternType="solid">
        <fgColor rgb="FF548DD4"/>
        <bgColor rgb="FF4F81BD"/>
      </patternFill>
    </fill>
  </fills>
  <borders count="3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>
        <color theme="0"/>
      </right>
      <top style="medium"/>
      <bottom style="thin">
        <color theme="0"/>
      </bottom>
      <diagonal/>
    </border>
    <border diagonalUp="false" diagonalDown="false">
      <left style="thin">
        <color theme="0"/>
      </left>
      <right style="thin">
        <color theme="0"/>
      </right>
      <top style="medium"/>
      <bottom style="thin">
        <color theme="0"/>
      </bottom>
      <diagonal/>
    </border>
    <border diagonalUp="false" diagonalDown="false">
      <left style="thin">
        <color theme="0"/>
      </left>
      <right/>
      <top style="medium"/>
      <bottom style="thin">
        <color theme="0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thin">
        <color theme="0"/>
      </left>
      <right/>
      <top/>
      <bottom/>
      <diagonal/>
    </border>
    <border diagonalUp="false" diagonalDown="false">
      <left style="thin">
        <color theme="0"/>
      </left>
      <right/>
      <top style="thin">
        <color theme="0"/>
      </top>
      <bottom style="thin">
        <color theme="0"/>
      </bottom>
      <diagonal/>
    </border>
    <border diagonalUp="false" diagonalDown="false">
      <left style="medium"/>
      <right style="thin">
        <color theme="0"/>
      </right>
      <top style="thin">
        <color theme="0"/>
      </top>
      <bottom style="medium"/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 style="medium"/>
      <diagonal/>
    </border>
    <border diagonalUp="false" diagonalDown="false">
      <left style="thin">
        <color theme="0"/>
      </left>
      <right/>
      <top/>
      <bottom style="medium"/>
      <diagonal/>
    </border>
    <border diagonalUp="false" diagonalDown="false">
      <left style="thin">
        <color theme="0"/>
      </left>
      <right/>
      <top style="thin">
        <color theme="0"/>
      </top>
      <bottom style="medium"/>
      <diagonal/>
    </border>
    <border diagonalUp="false" diagonalDown="false">
      <left style="medium"/>
      <right/>
      <top style="medium"/>
      <bottom style="thin">
        <color rgb="FFFFFFFF"/>
      </bottom>
      <diagonal/>
    </border>
    <border diagonalUp="false" diagonalDown="false">
      <left style="medium"/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medium"/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medium"/>
      <top style="thin">
        <color rgb="FFFFFFFF"/>
      </top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7" fillId="5" borderId="3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5" fontId="7" fillId="7" borderId="4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5" fontId="7" fillId="7" borderId="5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6" fontId="8" fillId="8" borderId="4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6" fontId="8" fillId="8" borderId="6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9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9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1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14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1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1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15" borderId="19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7" fillId="15" borderId="20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7" fillId="15" borderId="12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7" fillId="15" borderId="21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8" fillId="16" borderId="15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9" fontId="8" fillId="16" borderId="16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8" fillId="16" borderId="16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8" fillId="16" borderId="22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 readingOrder="1"/>
      <protection locked="true" hidden="false"/>
    </xf>
    <xf numFmtId="169" fontId="17" fillId="0" borderId="0" xfId="0" applyFont="true" applyBorder="false" applyAlignment="true" applyProtection="false">
      <alignment horizontal="center" vertical="center" textRotation="0" wrapText="true" indent="0" shrinkToFit="false" readingOrder="1"/>
      <protection locked="true" hidden="false"/>
    </xf>
    <xf numFmtId="164" fontId="18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7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1" fillId="8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1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8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2" fillId="3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3" borderId="2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3" borderId="2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3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3" borderId="2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3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2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23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2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19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3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3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3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3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3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1" fontId="6" fillId="0" borderId="2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2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2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19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8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8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8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5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9" borderId="1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4" fontId="6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8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19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9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19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1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9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2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8" fillId="21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21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2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2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3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5" fillId="2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22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22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0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0" borderId="2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5" fillId="0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0" borderId="2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28" xfId="0" applyFont="true" applyBorder="true" applyAlignment="true" applyProtection="false">
      <alignment horizontal="left" vertical="center" textRotation="0" wrapText="true" indent="0" shrinkToFit="false" readingOrder="1"/>
      <protection locked="true" hidden="false"/>
    </xf>
    <xf numFmtId="164" fontId="6" fillId="0" borderId="28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6" fontId="6" fillId="0" borderId="2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0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 readingOrder="1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6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3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29">
    <dxf>
      <fill>
        <patternFill patternType="solid">
          <fgColor rgb="FF4F81B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ont>
        <b val="1"/>
      </font>
      <fill>
        <patternFill>
          <bgColor rgb="FFFFFF00"/>
        </patternFill>
      </fill>
    </dxf>
    <dxf>
      <font>
        <b val="1"/>
        <color rgb="FFFFFFFF"/>
      </font>
      <fill>
        <patternFill>
          <bgColor rgb="FFFF0000"/>
        </patternFill>
      </fill>
    </dxf>
    <dxf>
      <font>
        <b val="1"/>
        <color rgb="FFFFFFFF"/>
      </font>
      <fill>
        <patternFill>
          <bgColor rgb="FF00B050"/>
        </patternFill>
      </fill>
    </dxf>
    <dxf>
      <fill>
        <patternFill patternType="solid">
          <fgColor rgb="FF00B0F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ont>
        <color rgb="FF000000"/>
      </font>
      <fill>
        <patternFill>
          <bgColor rgb="FFFFFF00"/>
        </patternFill>
      </fill>
    </dxf>
    <dxf>
      <font>
        <color rgb="FF000000"/>
      </font>
      <fill>
        <patternFill>
          <bgColor rgb="FFBFBFBF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92D050"/>
        </patternFill>
      </fill>
    </dxf>
    <dxf>
      <font>
        <b val="1"/>
        <color rgb="FFFFFFFF"/>
      </font>
      <fill>
        <patternFill>
          <bgColor rgb="FFFF0000"/>
        </patternFill>
      </fill>
    </dxf>
    <dxf>
      <font>
        <b val="1"/>
        <color rgb="FFFFFFFF"/>
      </font>
      <fill>
        <patternFill>
          <bgColor rgb="FF00B050"/>
        </patternFill>
      </fill>
    </dxf>
    <dxf>
      <font>
        <b val="1"/>
      </font>
      <fill>
        <patternFill>
          <bgColor rgb="FFA5A5A5"/>
        </patternFill>
      </fill>
    </dxf>
    <dxf>
      <font>
        <b val="1"/>
        <color rgb="FFFFFFFF"/>
      </font>
      <fill>
        <patternFill>
          <bgColor rgb="FF31859B"/>
        </patternFill>
      </fill>
    </dxf>
    <dxf>
      <font>
        <b val="1"/>
        <color rgb="FFFFFFFF"/>
      </font>
      <fill>
        <patternFill>
          <bgColor theme="1"/>
        </patternFill>
      </fill>
    </dxf>
    <dxf>
      <font>
        <b val="1"/>
        <color rgb="FFFFFFFF"/>
      </font>
      <fill>
        <patternFill>
          <bgColor rgb="FFFF0000"/>
        </patternFill>
      </fill>
    </dxf>
    <dxf>
      <font>
        <b val="1"/>
        <color rgb="FFFFFFFF"/>
      </font>
      <fill>
        <patternFill>
          <bgColor rgb="FF00B050"/>
        </patternFill>
      </fill>
    </dxf>
    <dxf>
      <font>
        <b val="1"/>
      </font>
      <fill>
        <patternFill>
          <bgColor rgb="FFA5A5A5"/>
        </patternFill>
      </fill>
    </dxf>
    <dxf>
      <font>
        <b val="1"/>
        <color rgb="FFFFFFFF"/>
      </font>
      <fill>
        <patternFill>
          <bgColor rgb="FF31859B"/>
        </patternFill>
      </fill>
    </dxf>
    <dxf>
      <font>
        <b val="1"/>
        <color rgb="FFFFFFFF"/>
      </font>
      <fill>
        <patternFill>
          <bgColor theme="1"/>
        </patternFill>
      </fill>
    </dxf>
    <dxf>
      <font>
        <color rgb="FF000000"/>
      </font>
      <fill>
        <patternFill>
          <bgColor rgb="FFFFFF00"/>
        </patternFill>
      </fill>
    </dxf>
    <dxf>
      <font>
        <color rgb="FF000000"/>
      </font>
      <fill>
        <patternFill>
          <bgColor rgb="FFBFBFBF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92D05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B050"/>
      <rgbColor rgb="FFBFBFBF"/>
      <rgbColor rgb="FF7F7F7F"/>
      <rgbColor rgb="FFA6A6A6"/>
      <rgbColor rgb="FF993366"/>
      <rgbColor rgb="FFF2F2F2"/>
      <rgbColor rgb="FFDBE5F1"/>
      <rgbColor rgb="FF660066"/>
      <rgbColor rgb="FFD99594"/>
      <rgbColor rgb="FF366092"/>
      <rgbColor rgb="FFD8D8D8"/>
      <rgbColor rgb="FF000080"/>
      <rgbColor rgb="FFFF00FF"/>
      <rgbColor rgb="FFFFFF00"/>
      <rgbColor rgb="FF00FFFF"/>
      <rgbColor rgb="FF800080"/>
      <rgbColor rgb="FF800000"/>
      <rgbColor rgb="FF1F4E79"/>
      <rgbColor rgb="FF0000FF"/>
      <rgbColor rgb="FF00B0F0"/>
      <rgbColor rgb="FFCCFFFF"/>
      <rgbColor rgb="FFD9D9D9"/>
      <rgbColor rgb="FFFFFF99"/>
      <rgbColor rgb="FF8DB3E2"/>
      <rgbColor rgb="FFFF99CC"/>
      <rgbColor rgb="FFCC99FF"/>
      <rgbColor rgb="FFFFCC99"/>
      <rgbColor rgb="FF4F81BD"/>
      <rgbColor rgb="FF548DD4"/>
      <rgbColor rgb="FF92D050"/>
      <rgbColor rgb="FFFFC000"/>
      <rgbColor rgb="FFFF9900"/>
      <rgbColor rgb="FFFF6600"/>
      <rgbColor rgb="FF8064A2"/>
      <rgbColor rgb="FFA5A5A5"/>
      <rgbColor rgb="FF17365D"/>
      <rgbColor rgb="FF31859B"/>
      <rgbColor rgb="FF003300"/>
      <rgbColor rgb="FF333300"/>
      <rgbColor rgb="FF993300"/>
      <rgbColor rgb="FF993366"/>
      <rgbColor rgb="FF1F497D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e_13" displayName="Table_13" ref="A1:X11" headerRowCount="1" totalsRowCount="0" totalsRowShown="0">
  <autoFilter ref="A1:X11">
    <filterColumn colId="18">
      <filters blank="1"/>
    </filterColumn>
  </autoFilter>
  <tableColumns count="24">
    <tableColumn id="1" name="NO"/>
    <tableColumn id="2" name="SPRINT"/>
    <tableColumn id="3" name="TC_ID"/>
    <tableColumn id="4" name="LINK STORY"/>
    <tableColumn id="5" name="FEATURE / SUITE"/>
    <tableColumn id="6" name="ROLE USER"/>
    <tableColumn id="7" name="PLATFORM"/>
    <tableColumn id="8" name="TEST CASE"/>
    <tableColumn id="9" name="PRECONDITIONS"/>
    <tableColumn id="10" name="STEPS"/>
    <tableColumn id="11" name="DATA"/>
    <tableColumn id="12" name="EXPECTED"/>
    <tableColumn id="13" name="BEHAVIOUR"/>
    <tableColumn id="14" name="PRIORITY"/>
    <tableColumn id="15" name="SEVERITY"/>
    <tableColumn id="16" name="COMPLEXITY"/>
    <tableColumn id="17" name="TYPE"/>
    <tableColumn id="18" name="ACTUAL RESULT"/>
    <tableColumn id="19" name="REMARKS"/>
    <tableColumn id="20" name="DATE"/>
    <tableColumn id="21" name="PIC TESTER"/>
    <tableColumn id="22" name="EVIDENCE SIT"/>
    <tableColumn id="23" name="Evidence Internal Test"/>
    <tableColumn id="24" name="Automate/Manual"/>
  </tableColumns>
</table>
</file>

<file path=xl/tables/table2.xml><?xml version="1.0" encoding="utf-8"?>
<table xmlns="http://schemas.openxmlformats.org/spreadsheetml/2006/main" id="2" name="Table_15" displayName="Table_15" ref="A1:W11" headerRowCount="1" totalsRowCount="0" totalsRowShown="0">
  <autoFilter ref="A1:W11">
    <filterColumn colId="18">
      <filters blank="1"/>
    </filterColumn>
  </autoFilter>
  <tableColumns count="23">
    <tableColumn id="1" name="NO"/>
    <tableColumn id="2" name="SPRINT"/>
    <tableColumn id="3" name="TC_ID"/>
    <tableColumn id="4" name="LINK STORY"/>
    <tableColumn id="5" name="FEATURE / SUITE"/>
    <tableColumn id="6" name="ROLE USER"/>
    <tableColumn id="7" name="PLATFORM"/>
    <tableColumn id="8" name="TEST CASE"/>
    <tableColumn id="9" name="PRECONDITIONS"/>
    <tableColumn id="10" name="STEPS"/>
    <tableColumn id="11" name="DATA"/>
    <tableColumn id="12" name="EXPECTED"/>
    <tableColumn id="13" name="BEHAVIOUR"/>
    <tableColumn id="14" name="PRIORITY"/>
    <tableColumn id="15" name="SEVERITY"/>
    <tableColumn id="16" name="COMPLEXITY"/>
    <tableColumn id="17" name="TYPE"/>
    <tableColumn id="18" name="ACTUAL RESULT"/>
    <tableColumn id="19" name="REMARKS"/>
    <tableColumn id="20" name="DATE"/>
    <tableColumn id="21" name="PIC TESTER"/>
    <tableColumn id="22" name="EVIDENCE SIT"/>
    <tableColumn id="23" name="Automate/Manual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snpgroup.atlassian.net/browse/SPPAT-1724" TargetMode="External"/><Relationship Id="rId2" Type="http://schemas.openxmlformats.org/officeDocument/2006/relationships/hyperlink" Target="https://snpgroup.atlassian.net/browse/SPPAT-1725" TargetMode="External"/><Relationship Id="rId3" Type="http://schemas.openxmlformats.org/officeDocument/2006/relationships/hyperlink" Target="https://snpgroup.atlassian.net/browse/SPPAT-1741" TargetMode="External"/><Relationship Id="rId4" Type="http://schemas.openxmlformats.org/officeDocument/2006/relationships/hyperlink" Target="https://snpgroup.atlassian.net/browse/SPPAT-1748" TargetMode="External"/><Relationship Id="rId5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saltcoid.sharepoint.com/:v:/r/sites/IPTVPatricia/Shared%20Documents/General/QA%20Report/Sprint%205/DIsplay%20Hub%20sprint%205%20clone%20evidence/PIC%20Org%20TC%20ID%20222.mp4?csf=1&amp;web=1&amp;e=HaHdqQ" TargetMode="External"/><Relationship Id="rId3" Type="http://schemas.openxmlformats.org/officeDocument/2006/relationships/hyperlink" Target="https://saltcoid.sharepoint.com/:v:/r/sites/IPTVPatricia/Shared%20Documents/General/QA%20Report/Sprint%205/DIsplay%20Hub%20sprint%205%20clone%20evidence/PIC%20Org%20TC%20ID%20223.mp4?csf=1&amp;web=1&amp;e=adHbmB" TargetMode="External"/><Relationship Id="rId4" Type="http://schemas.openxmlformats.org/officeDocument/2006/relationships/hyperlink" Target="https://saltcoid.sharepoint.com/:v:/r/sites/IPTVPatricia/Shared%20Documents/General/QA%20Report/Sprint%205/DIsplay%20Hub%20sprint%205%20clone%20evidence/PIC%20Org%20TC%20ID%20225.mp4?csf=1&amp;web=1&amp;e=uoNGHW" TargetMode="External"/><Relationship Id="rId5" Type="http://schemas.openxmlformats.org/officeDocument/2006/relationships/hyperlink" Target="https://saltcoid.sharepoint.com/:v:/r/sites/IPTVPatricia/Shared%20Documents/General/QA%20Report/Sprint%205/DIsplay%20Hub%20sprint%205%20clone%20evidence/PIC%20Org%20TC%20ID%20226.mp4?csf=1&amp;web=1&amp;e=CedWCf" TargetMode="External"/><Relationship Id="rId6" Type="http://schemas.openxmlformats.org/officeDocument/2006/relationships/hyperlink" Target="https://saltcoid.sharepoint.com/:v:/r/sites/IPTVPatricia/Shared%20Documents/General/QA%20Report/Sprint%205/DIsplay%20Hub%20sprint%205%20clone%20evidence/PIC%20Org%20TC%20ID%20227.mp4?csf=1&amp;web=1&amp;e=x70r7n" TargetMode="External"/><Relationship Id="rId7" Type="http://schemas.openxmlformats.org/officeDocument/2006/relationships/hyperlink" Target="https://saltcoid.sharepoint.com/:v:/r/sites/IPTVPatricia/Shared%20Documents/General/QA%20Report/Sprint%205/DIsplay%20Hub%20sprint%205%20clone%20evidence/PIC%20Org%20TC%20ID%20228.mp4?csf=1&amp;web=1&amp;e=nYe4OL" TargetMode="External"/><Relationship Id="rId8" Type="http://schemas.openxmlformats.org/officeDocument/2006/relationships/hyperlink" Target="https://saltcoid.sharepoint.com/:v:/r/sites/IPTVPatricia/Shared%20Documents/General/QA%20Report/Sprint%205/DIsplay%20Hub%20sprint%205%20clone%20evidence/PIC%20Org%20TC%20ID%20229.mp4?csf=1&amp;web=1&amp;e=R3dIJf" TargetMode="External"/><Relationship Id="rId9" Type="http://schemas.openxmlformats.org/officeDocument/2006/relationships/hyperlink" Target="https://saltcoid.sharepoint.com/:v:/r/sites/IPTVPatricia/Shared%20Documents/General/QA%20Report/Sprint%205/DIsplay%20Hub%20sprint%205%20clone%20evidence/PIC%20Org%20TC%20ID%20231.mp4?csf=1&amp;web=1&amp;e=DsfA9K" TargetMode="External"/><Relationship Id="rId10" Type="http://schemas.openxmlformats.org/officeDocument/2006/relationships/vmlDrawing" Target="../drawings/vmlDrawing2.vml"/><Relationship Id="rId1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U1048576"/>
  <sheetViews>
    <sheetView showFormulas="false" showGridLines="false" showRowColHeaders="true" showZeros="true" rightToLeft="false" tabSelected="true" showOutlineSymbols="true" defaultGridColor="true" view="normal" topLeftCell="B1" colorId="64" zoomScale="78" zoomScaleNormal="78" zoomScalePageLayoutView="100" workbookViewId="0">
      <selection pane="topLeft" activeCell="G9" activeCellId="0" sqref="G9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9.43"/>
    <col collapsed="false" customWidth="true" hidden="false" outlineLevel="0" max="2" min="2" style="0" width="24.14"/>
    <col collapsed="false" customWidth="true" hidden="false" outlineLevel="0" max="3" min="3" style="0" width="23.43"/>
    <col collapsed="false" customWidth="true" hidden="false" outlineLevel="0" max="4" min="4" style="0" width="25.45"/>
    <col collapsed="false" customWidth="true" hidden="false" outlineLevel="0" max="5" min="5" style="0" width="19.43"/>
    <col collapsed="false" customWidth="true" hidden="false" outlineLevel="0" max="6" min="6" style="0" width="18.43"/>
    <col collapsed="false" customWidth="true" hidden="false" outlineLevel="0" max="7" min="7" style="0" width="17.71"/>
    <col collapsed="false" customWidth="true" hidden="false" outlineLevel="0" max="8" min="8" style="0" width="16.14"/>
    <col collapsed="false" customWidth="true" hidden="false" outlineLevel="0" max="9" min="9" style="0" width="15.43"/>
    <col collapsed="false" customWidth="true" hidden="false" outlineLevel="0" max="10" min="10" style="0" width="18.29"/>
    <col collapsed="false" customWidth="true" hidden="false" outlineLevel="0" max="11" min="11" style="0" width="16.43"/>
    <col collapsed="false" customWidth="true" hidden="false" outlineLevel="0" max="12" min="12" style="0" width="16.29"/>
    <col collapsed="false" customWidth="true" hidden="false" outlineLevel="0" max="13" min="13" style="0" width="16.14"/>
    <col collapsed="false" customWidth="true" hidden="false" outlineLevel="0" max="14" min="14" style="0" width="16.29"/>
    <col collapsed="false" customWidth="true" hidden="false" outlineLevel="0" max="15" min="15" style="0" width="15"/>
    <col collapsed="false" customWidth="true" hidden="false" outlineLevel="0" max="16" min="16" style="0" width="17.86"/>
    <col collapsed="false" customWidth="true" hidden="false" outlineLevel="0" max="17" min="17" style="0" width="12.29"/>
    <col collapsed="false" customWidth="true" hidden="false" outlineLevel="0" max="18" min="18" style="0" width="13.43"/>
    <col collapsed="false" customWidth="true" hidden="false" outlineLevel="0" max="19" min="19" style="0" width="13.29"/>
    <col collapsed="false" customWidth="true" hidden="false" outlineLevel="0" max="20" min="20" style="0" width="14.29"/>
    <col collapsed="false" customWidth="true" hidden="false" outlineLevel="0" max="21" min="21" style="0" width="15.43"/>
    <col collapsed="false" customWidth="true" hidden="false" outlineLevel="0" max="26" min="22" style="0" width="8.72"/>
  </cols>
  <sheetData>
    <row r="2" customFormat="false" ht="45.75" hidden="false" customHeight="true" outlineLevel="0" collapsed="false">
      <c r="A2" s="1" t="s">
        <v>0</v>
      </c>
      <c r="B2" s="1"/>
      <c r="C2" s="1"/>
      <c r="D2" s="1"/>
      <c r="E2" s="2" t="s">
        <v>1</v>
      </c>
      <c r="F2" s="3" t="n">
        <f aca="true">TODAY()</f>
        <v>46136</v>
      </c>
      <c r="G2" s="4"/>
    </row>
    <row r="3" customFormat="false" ht="13.5" hidden="false" customHeight="true" outlineLevel="0" collapsed="false">
      <c r="A3" s="5"/>
    </row>
    <row r="4" customFormat="false" ht="13.5" hidden="false" customHeight="true" outlineLevel="0" collapsed="false">
      <c r="A4" s="5"/>
      <c r="E4" s="5"/>
    </row>
    <row r="5" customFormat="false" ht="21.75" hidden="false" customHeight="true" outlineLevel="0" collapsed="false">
      <c r="A5" s="6" t="s">
        <v>2</v>
      </c>
      <c r="B5" s="6"/>
      <c r="C5" s="7" t="s">
        <v>3</v>
      </c>
      <c r="D5" s="7"/>
    </row>
    <row r="6" customFormat="false" ht="19.5" hidden="false" customHeight="true" outlineLevel="0" collapsed="false">
      <c r="A6" s="8" t="s">
        <v>4</v>
      </c>
      <c r="B6" s="9" t="s">
        <v>5</v>
      </c>
      <c r="C6" s="7" t="s">
        <v>4</v>
      </c>
      <c r="D6" s="7" t="s">
        <v>6</v>
      </c>
    </row>
    <row r="7" customFormat="false" ht="19.5" hidden="false" customHeight="true" outlineLevel="0" collapsed="false">
      <c r="A7" s="10" t="n">
        <v>46062</v>
      </c>
      <c r="B7" s="11" t="n">
        <v>46066</v>
      </c>
      <c r="C7" s="12"/>
      <c r="D7" s="13"/>
    </row>
    <row r="8" customFormat="false" ht="13.5" hidden="false" customHeight="true" outlineLevel="0" collapsed="false">
      <c r="A8" s="5"/>
      <c r="E8" s="5"/>
    </row>
    <row r="9" customFormat="false" ht="15" hidden="false" customHeight="true" outlineLevel="0" collapsed="false">
      <c r="A9" s="5"/>
      <c r="E9" s="5"/>
    </row>
    <row r="10" customFormat="false" ht="47.25" hidden="false" customHeight="true" outlineLevel="0" collapsed="false">
      <c r="A10" s="14" t="s">
        <v>7</v>
      </c>
      <c r="B10" s="15" t="s">
        <v>8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</row>
    <row r="11" customFormat="false" ht="31.5" hidden="false" customHeight="true" outlineLevel="0" collapsed="false">
      <c r="A11" s="17" t="s">
        <v>9</v>
      </c>
      <c r="B11" s="18" t="s">
        <v>10</v>
      </c>
      <c r="C11" s="18"/>
      <c r="D11" s="18"/>
      <c r="E11" s="19" t="s">
        <v>11</v>
      </c>
      <c r="F11" s="19"/>
      <c r="G11" s="19"/>
      <c r="H11" s="19"/>
      <c r="I11" s="19"/>
      <c r="J11" s="19"/>
      <c r="K11" s="19"/>
      <c r="L11" s="20" t="s">
        <v>12</v>
      </c>
      <c r="M11" s="20"/>
    </row>
    <row r="12" customFormat="false" ht="51.75" hidden="false" customHeight="true" outlineLevel="0" collapsed="false">
      <c r="A12" s="17"/>
      <c r="B12" s="21" t="s">
        <v>13</v>
      </c>
      <c r="C12" s="21" t="s">
        <v>14</v>
      </c>
      <c r="D12" s="21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3" t="s">
        <v>14</v>
      </c>
      <c r="K12" s="24" t="s">
        <v>15</v>
      </c>
      <c r="L12" s="20"/>
      <c r="M12" s="20"/>
    </row>
    <row r="13" customFormat="false" ht="26.25" hidden="false" customHeight="true" outlineLevel="0" collapsed="false">
      <c r="A13" s="25" t="n">
        <f aca="false">J35</f>
        <v>20</v>
      </c>
      <c r="B13" s="26" t="n">
        <v>20</v>
      </c>
      <c r="C13" s="27" t="n">
        <f aca="false">B13/A13</f>
        <v>1</v>
      </c>
      <c r="D13" s="27" t="n">
        <v>0</v>
      </c>
      <c r="E13" s="28" t="n">
        <f aca="false">K35</f>
        <v>17</v>
      </c>
      <c r="F13" s="28" t="n">
        <f aca="false">L35</f>
        <v>17</v>
      </c>
      <c r="G13" s="28" t="n">
        <f aca="false">M35</f>
        <v>0</v>
      </c>
      <c r="H13" s="28" t="n">
        <f aca="false">N35</f>
        <v>0</v>
      </c>
      <c r="I13" s="28" t="n">
        <f aca="false">O35</f>
        <v>0</v>
      </c>
      <c r="J13" s="29" t="n">
        <f aca="false">E13/A13</f>
        <v>0.85</v>
      </c>
      <c r="K13" s="30" t="n">
        <f aca="false">(F13+H13)/E13</f>
        <v>1</v>
      </c>
      <c r="L13" s="31" t="n">
        <f aca="false">J13/C13</f>
        <v>0.85</v>
      </c>
      <c r="M13" s="31"/>
    </row>
    <row r="14" customFormat="false" ht="13.5" hidden="false" customHeight="true" outlineLevel="0" collapsed="false">
      <c r="A14" s="32"/>
      <c r="B14" s="33"/>
      <c r="C14" s="34"/>
      <c r="D14" s="34"/>
      <c r="E14" s="35"/>
      <c r="F14" s="35"/>
      <c r="G14" s="35"/>
      <c r="H14" s="35"/>
      <c r="I14" s="35"/>
      <c r="J14" s="36"/>
      <c r="K14" s="36"/>
      <c r="L14" s="37"/>
      <c r="M14" s="38"/>
    </row>
    <row r="15" customFormat="false" ht="13.5" hidden="false" customHeight="true" outlineLevel="0" collapsed="false">
      <c r="A15" s="32"/>
      <c r="B15" s="33"/>
      <c r="C15" s="34"/>
      <c r="D15" s="34"/>
      <c r="E15" s="35"/>
      <c r="F15" s="35"/>
      <c r="G15" s="35"/>
      <c r="H15" s="35"/>
      <c r="I15" s="35"/>
      <c r="J15" s="36"/>
      <c r="K15" s="36"/>
      <c r="L15" s="37"/>
      <c r="M15" s="38"/>
    </row>
    <row r="16" customFormat="false" ht="22.5" hidden="false" customHeight="true" outlineLevel="0" collapsed="false">
      <c r="A16" s="39" t="s">
        <v>21</v>
      </c>
      <c r="B16" s="39"/>
      <c r="C16" s="39"/>
      <c r="D16" s="39"/>
      <c r="E16" s="39"/>
      <c r="F16" s="39"/>
      <c r="G16" s="35"/>
      <c r="I16" s="35"/>
      <c r="J16" s="36"/>
      <c r="K16" s="36"/>
      <c r="L16" s="37"/>
      <c r="M16" s="38"/>
    </row>
    <row r="17" customFormat="false" ht="22.5" hidden="false" customHeight="true" outlineLevel="0" collapsed="false">
      <c r="A17" s="40" t="s">
        <v>22</v>
      </c>
      <c r="B17" s="41" t="s">
        <v>23</v>
      </c>
      <c r="C17" s="41" t="s">
        <v>24</v>
      </c>
      <c r="D17" s="41" t="s">
        <v>25</v>
      </c>
      <c r="E17" s="41" t="s">
        <v>26</v>
      </c>
      <c r="F17" s="42" t="s">
        <v>27</v>
      </c>
      <c r="G17" s="35"/>
      <c r="H17" s="35"/>
      <c r="I17" s="35"/>
      <c r="J17" s="36"/>
      <c r="K17" s="36"/>
      <c r="L17" s="37"/>
      <c r="M17" s="38"/>
      <c r="N17" s="38"/>
      <c r="O17" s="38"/>
      <c r="P17" s="38"/>
      <c r="Q17" s="38"/>
      <c r="R17" s="38"/>
      <c r="S17" s="38"/>
      <c r="T17" s="38"/>
    </row>
    <row r="18" customFormat="false" ht="22.5" hidden="false" customHeight="true" outlineLevel="0" collapsed="false">
      <c r="A18" s="43" t="n">
        <v>0</v>
      </c>
      <c r="B18" s="44" t="n">
        <f aca="false">A18/E13</f>
        <v>0</v>
      </c>
      <c r="C18" s="45" t="n">
        <v>0</v>
      </c>
      <c r="D18" s="45" t="n">
        <v>0</v>
      </c>
      <c r="E18" s="45" t="n">
        <v>0</v>
      </c>
      <c r="F18" s="46" t="n">
        <v>0</v>
      </c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</row>
    <row r="19" customFormat="false" ht="15" hidden="false" customHeight="false" outlineLevel="0" collapsed="false">
      <c r="A19" s="47"/>
      <c r="B19" s="48"/>
      <c r="C19" s="47"/>
      <c r="D19" s="47"/>
      <c r="E19" s="47"/>
      <c r="F19" s="47"/>
    </row>
    <row r="20" customFormat="false" ht="15" hidden="false" customHeight="false" outlineLevel="0" collapsed="false">
      <c r="A20" s="5"/>
    </row>
    <row r="21" customFormat="false" ht="18.75" hidden="false" customHeight="true" outlineLevel="0" collapsed="false">
      <c r="A21" s="49" t="s">
        <v>28</v>
      </c>
      <c r="B21" s="49"/>
      <c r="C21" s="49"/>
      <c r="D21" s="49"/>
    </row>
    <row r="22" customFormat="false" ht="27.75" hidden="false" customHeight="true" outlineLevel="0" collapsed="false">
      <c r="A22" s="50" t="s">
        <v>29</v>
      </c>
      <c r="B22" s="50"/>
      <c r="C22" s="50"/>
      <c r="D22" s="50"/>
      <c r="E22" s="51"/>
      <c r="F22" s="51"/>
      <c r="G22" s="51"/>
      <c r="H22" s="51"/>
      <c r="I22" s="51"/>
      <c r="J22" s="51"/>
      <c r="K22" s="51"/>
      <c r="L22" s="51"/>
    </row>
    <row r="23" customFormat="false" ht="15.75" hidden="false" customHeight="true" outlineLevel="0" collapsed="false">
      <c r="A23" s="50"/>
      <c r="B23" s="50"/>
      <c r="C23" s="50"/>
      <c r="D23" s="50"/>
      <c r="E23" s="51"/>
      <c r="F23" s="51"/>
      <c r="G23" s="51"/>
      <c r="H23" s="51"/>
      <c r="I23" s="51"/>
      <c r="J23" s="51"/>
      <c r="K23" s="51"/>
      <c r="L23" s="51"/>
    </row>
    <row r="24" customFormat="false" ht="15.75" hidden="false" customHeight="true" outlineLevel="0" collapsed="false">
      <c r="A24" s="50"/>
      <c r="B24" s="50"/>
      <c r="C24" s="50"/>
      <c r="D24" s="50"/>
      <c r="E24" s="51"/>
      <c r="F24" s="51"/>
      <c r="G24" s="51"/>
      <c r="H24" s="51"/>
      <c r="I24" s="51"/>
      <c r="J24" s="51"/>
      <c r="K24" s="51"/>
      <c r="L24" s="51"/>
    </row>
    <row r="25" customFormat="false" ht="15.75" hidden="false" customHeight="true" outlineLevel="0" collapsed="false">
      <c r="A25" s="50"/>
      <c r="B25" s="50"/>
      <c r="C25" s="50"/>
      <c r="D25" s="50"/>
      <c r="E25" s="51"/>
      <c r="F25" s="51"/>
      <c r="G25" s="51"/>
      <c r="H25" s="51"/>
      <c r="I25" s="51"/>
      <c r="J25" s="51"/>
      <c r="K25" s="51"/>
      <c r="L25" s="51"/>
    </row>
    <row r="26" customFormat="false" ht="15.75" hidden="false" customHeight="true" outlineLevel="0" collapsed="false">
      <c r="A26" s="52"/>
      <c r="B26" s="53"/>
      <c r="C26" s="53"/>
      <c r="D26" s="53"/>
      <c r="E26" s="53"/>
      <c r="F26" s="53"/>
      <c r="G26" s="53"/>
    </row>
    <row r="27" customFormat="false" ht="15.75" hidden="false" customHeight="true" outlineLevel="0" collapsed="false">
      <c r="A27" s="5"/>
    </row>
    <row r="28" customFormat="false" ht="26.25" hidden="false" customHeight="true" outlineLevel="0" collapsed="false">
      <c r="A28" s="54" t="s">
        <v>30</v>
      </c>
      <c r="B28" s="55"/>
      <c r="C28" s="55"/>
    </row>
    <row r="29" customFormat="false" ht="15.75" hidden="false" customHeight="true" outlineLevel="0" collapsed="false">
      <c r="A29" s="5"/>
      <c r="E29" s="5"/>
    </row>
    <row r="30" customFormat="false" ht="18.75" hidden="false" customHeight="true" outlineLevel="0" collapsed="false">
      <c r="A30" s="56" t="s">
        <v>31</v>
      </c>
      <c r="B30" s="57" t="s">
        <v>32</v>
      </c>
      <c r="C30" s="58" t="s">
        <v>33</v>
      </c>
      <c r="D30" s="58"/>
      <c r="E30" s="58" t="s">
        <v>34</v>
      </c>
      <c r="F30" s="58"/>
      <c r="G30" s="57" t="s">
        <v>35</v>
      </c>
      <c r="H30" s="59" t="s">
        <v>36</v>
      </c>
      <c r="I30" s="60" t="s">
        <v>37</v>
      </c>
      <c r="J30" s="61" t="s">
        <v>38</v>
      </c>
      <c r="K30" s="61" t="s">
        <v>39</v>
      </c>
      <c r="L30" s="61" t="s">
        <v>40</v>
      </c>
      <c r="M30" s="61" t="s">
        <v>41</v>
      </c>
      <c r="N30" s="61" t="s">
        <v>42</v>
      </c>
      <c r="O30" s="62" t="s">
        <v>43</v>
      </c>
      <c r="P30" s="61" t="s">
        <v>44</v>
      </c>
      <c r="Q30" s="59" t="s">
        <v>45</v>
      </c>
      <c r="R30" s="59"/>
      <c r="S30" s="59"/>
      <c r="T30" s="63" t="s">
        <v>46</v>
      </c>
    </row>
    <row r="31" customFormat="false" ht="84" hidden="false" customHeight="true" outlineLevel="0" collapsed="false">
      <c r="A31" s="64" t="n">
        <v>1</v>
      </c>
      <c r="B31" s="65" t="s">
        <v>47</v>
      </c>
      <c r="C31" s="66" t="s">
        <v>48</v>
      </c>
      <c r="D31" s="66"/>
      <c r="E31" s="67" t="s">
        <v>49</v>
      </c>
      <c r="F31" s="67"/>
      <c r="G31" s="68" t="s">
        <v>50</v>
      </c>
      <c r="H31" s="69" t="n">
        <v>46062</v>
      </c>
      <c r="I31" s="69" t="n">
        <v>46066</v>
      </c>
      <c r="J31" s="70" t="n">
        <f aca="false">COUNTIF('Global Admin'!E:E, E31)</f>
        <v>6</v>
      </c>
      <c r="K31" s="70" t="n">
        <f aca="false">SUM(L31:O31)</f>
        <v>6</v>
      </c>
      <c r="L31" s="70" t="n">
        <f aca="false">COUNTIFS('Global Admin'!E:E, E31,'Global Admin'!R:R, "Passed")</f>
        <v>6</v>
      </c>
      <c r="M31" s="70" t="n">
        <f aca="false">COUNTIFS('Global Admin'!E:E,E31,'Global Admin'!R:R, "Failed")</f>
        <v>0</v>
      </c>
      <c r="N31" s="70" t="n">
        <f aca="false">COUNTIFS('Global Admin'!E:E, E31,'Global Admin'!R:R, "NA")</f>
        <v>0</v>
      </c>
      <c r="O31" s="70" t="n">
        <f aca="false">COUNTIFS('Global Admin'!E:E, E31,'Global Admin'!R:R, "Blocked")</f>
        <v>0</v>
      </c>
      <c r="P31" s="70" t="n">
        <f aca="false">COUNTIFS('Global Admin'!F:F, E31,'Global Admin'!S:S, "Not Tested")</f>
        <v>0</v>
      </c>
      <c r="Q31" s="70"/>
      <c r="R31" s="70"/>
      <c r="S31" s="70"/>
      <c r="T31" s="71"/>
    </row>
    <row r="32" customFormat="false" ht="85.5" hidden="false" customHeight="true" outlineLevel="0" collapsed="false">
      <c r="A32" s="72" t="n">
        <v>2</v>
      </c>
      <c r="B32" s="65" t="s">
        <v>47</v>
      </c>
      <c r="C32" s="73" t="s">
        <v>51</v>
      </c>
      <c r="D32" s="73"/>
      <c r="E32" s="74" t="s">
        <v>52</v>
      </c>
      <c r="F32" s="74"/>
      <c r="G32" s="68" t="s">
        <v>50</v>
      </c>
      <c r="H32" s="69" t="n">
        <v>46062</v>
      </c>
      <c r="I32" s="69" t="n">
        <v>46066</v>
      </c>
      <c r="J32" s="70" t="n">
        <f aca="false">COUNTIF('Global Admin'!E:E, E32)</f>
        <v>4</v>
      </c>
      <c r="K32" s="70" t="n">
        <f aca="false">SUM(L32:O32)</f>
        <v>3</v>
      </c>
      <c r="L32" s="70" t="n">
        <f aca="false">COUNTIFS('Global Admin'!E:E, E32,'Global Admin'!R:R, "Passed")</f>
        <v>3</v>
      </c>
      <c r="M32" s="70" t="n">
        <f aca="false">COUNTIFS('Global Admin'!E:E,E32,'Global Admin'!R:R, "Failed")</f>
        <v>0</v>
      </c>
      <c r="N32" s="70" t="n">
        <f aca="false">COUNTIFS('Global Admin'!E:E, E32,'Global Admin'!R:R, "NA")</f>
        <v>0</v>
      </c>
      <c r="O32" s="70" t="n">
        <f aca="false">COUNTIFS('Global Admin'!E:E, E32,'Global Admin'!R:R, "Blocked")</f>
        <v>0</v>
      </c>
      <c r="P32" s="70" t="n">
        <f aca="false">COUNTIFS('Global Admin'!F:F, E32,'Global Admin'!S:S, "Not Tested")</f>
        <v>0</v>
      </c>
      <c r="Q32" s="70"/>
      <c r="R32" s="70"/>
      <c r="S32" s="70"/>
      <c r="T32" s="71"/>
    </row>
    <row r="33" customFormat="false" ht="85.5" hidden="false" customHeight="true" outlineLevel="0" collapsed="false">
      <c r="A33" s="64" t="n">
        <v>11</v>
      </c>
      <c r="B33" s="65" t="s">
        <v>47</v>
      </c>
      <c r="C33" s="66" t="s">
        <v>53</v>
      </c>
      <c r="D33" s="66"/>
      <c r="E33" s="74" t="s">
        <v>54</v>
      </c>
      <c r="F33" s="74"/>
      <c r="G33" s="68" t="s">
        <v>50</v>
      </c>
      <c r="H33" s="69" t="n">
        <v>46062</v>
      </c>
      <c r="I33" s="69" t="n">
        <v>46066</v>
      </c>
      <c r="J33" s="70" t="n">
        <f aca="false">COUNTIF('PIC Organization'!E:E, E33)</f>
        <v>4</v>
      </c>
      <c r="K33" s="70" t="n">
        <f aca="false">SUM(L33:O33)</f>
        <v>3</v>
      </c>
      <c r="L33" s="70" t="n">
        <f aca="false">COUNTIFS('PIC Organization'!E:E, E33,'PIC Organization'!R:R, "Passed")</f>
        <v>3</v>
      </c>
      <c r="M33" s="70" t="n">
        <f aca="false">COUNTIFS('PIC Organization'!E:E,E33,'PIC Organization'!R:R, "Failed")</f>
        <v>0</v>
      </c>
      <c r="N33" s="70" t="n">
        <f aca="false">COUNTIFS('PIC Organization'!E:E, E33,'PIC Organization'!R:R, "NA")</f>
        <v>0</v>
      </c>
      <c r="O33" s="70" t="n">
        <f aca="false">COUNTIFS('PIC Organization'!E:E, E33,'PIC Organization'!R:R, "Blocked")</f>
        <v>0</v>
      </c>
      <c r="P33" s="70" t="n">
        <f aca="false">COUNTIFS('PIC Organization'!F:F, E33,'PIC Organization'!S:S, "Not Tested")</f>
        <v>0</v>
      </c>
      <c r="Q33" s="70"/>
      <c r="R33" s="70"/>
      <c r="S33" s="70"/>
      <c r="T33" s="71"/>
    </row>
    <row r="34" customFormat="false" ht="85.5" hidden="false" customHeight="true" outlineLevel="0" collapsed="false">
      <c r="A34" s="72" t="n">
        <v>12</v>
      </c>
      <c r="B34" s="65" t="s">
        <v>47</v>
      </c>
      <c r="C34" s="66" t="s">
        <v>55</v>
      </c>
      <c r="D34" s="66"/>
      <c r="E34" s="67" t="s">
        <v>56</v>
      </c>
      <c r="F34" s="67"/>
      <c r="G34" s="68" t="s">
        <v>50</v>
      </c>
      <c r="H34" s="69" t="n">
        <v>46062</v>
      </c>
      <c r="I34" s="69" t="n">
        <v>46066</v>
      </c>
      <c r="J34" s="70" t="n">
        <f aca="false">COUNTIF('PIC Organization'!E:E, E34)</f>
        <v>6</v>
      </c>
      <c r="K34" s="70" t="n">
        <f aca="false">SUM(L34:O34)</f>
        <v>5</v>
      </c>
      <c r="L34" s="70" t="n">
        <f aca="false">COUNTIFS('PIC Organization'!E:E, E34,'PIC Organization'!R:R, "Passed")</f>
        <v>5</v>
      </c>
      <c r="M34" s="70" t="n">
        <f aca="false">COUNTIFS('PIC Organization'!E:E,E34,'PIC Organization'!R:R, "Failed")</f>
        <v>0</v>
      </c>
      <c r="N34" s="70" t="n">
        <f aca="false">COUNTIFS('PIC Organization'!E:E, E34,'PIC Organization'!R:R, "NA")</f>
        <v>0</v>
      </c>
      <c r="O34" s="70" t="n">
        <f aca="false">COUNTIFS('PIC Organization'!E:E, E34,'PIC Organization'!R:R, "Blocked")</f>
        <v>0</v>
      </c>
      <c r="P34" s="70" t="n">
        <f aca="false">COUNTIFS('PIC Organization'!F:F, E34,'PIC Organization'!S:S, "Not Tested")</f>
        <v>0</v>
      </c>
      <c r="Q34" s="70"/>
      <c r="R34" s="70"/>
      <c r="S34" s="70"/>
      <c r="T34" s="71"/>
    </row>
    <row r="35" customFormat="false" ht="21.75" hidden="false" customHeight="true" outlineLevel="0" collapsed="false">
      <c r="A35" s="5"/>
      <c r="H35" s="75"/>
      <c r="I35" s="76" t="s">
        <v>57</v>
      </c>
      <c r="J35" s="77" t="n">
        <f aca="false">SUM(J31:J34)</f>
        <v>20</v>
      </c>
      <c r="K35" s="77" t="n">
        <f aca="false">SUM(K31:K34)</f>
        <v>17</v>
      </c>
      <c r="L35" s="77" t="n">
        <f aca="false">SUM(L31:L34)</f>
        <v>17</v>
      </c>
      <c r="M35" s="77" t="n">
        <f aca="false">SUM(M31:M34)</f>
        <v>0</v>
      </c>
      <c r="N35" s="77" t="n">
        <f aca="false">SUM(N31:N34)</f>
        <v>0</v>
      </c>
      <c r="O35" s="77" t="n">
        <f aca="false">SUM(O31:O34)</f>
        <v>0</v>
      </c>
      <c r="P35" s="77" t="n">
        <f aca="false">SUM(P31:P34)</f>
        <v>0</v>
      </c>
    </row>
    <row r="36" customFormat="false" ht="15" hidden="false" customHeight="true" outlineLevel="0" collapsed="false">
      <c r="A36" s="5"/>
      <c r="J36" s="61" t="s">
        <v>38</v>
      </c>
      <c r="K36" s="61" t="s">
        <v>39</v>
      </c>
      <c r="L36" s="61" t="s">
        <v>40</v>
      </c>
      <c r="M36" s="61" t="s">
        <v>41</v>
      </c>
      <c r="N36" s="61" t="s">
        <v>42</v>
      </c>
      <c r="O36" s="62" t="s">
        <v>43</v>
      </c>
      <c r="P36" s="61" t="s">
        <v>44</v>
      </c>
    </row>
    <row r="37" customFormat="false" ht="15.75" hidden="false" customHeight="true" outlineLevel="0" collapsed="false">
      <c r="A37" s="5"/>
    </row>
    <row r="38" customFormat="false" ht="28.5" hidden="false" customHeight="true" outlineLevel="0" collapsed="false">
      <c r="A38" s="78" t="s">
        <v>58</v>
      </c>
      <c r="B38" s="79"/>
      <c r="C38" s="79"/>
    </row>
    <row r="39" customFormat="false" ht="15.75" hidden="false" customHeight="true" outlineLevel="0" collapsed="false">
      <c r="A39" s="5"/>
    </row>
    <row r="40" customFormat="false" ht="43.5" hidden="false" customHeight="true" outlineLevel="0" collapsed="false">
      <c r="A40" s="80" t="s">
        <v>59</v>
      </c>
      <c r="B40" s="81" t="s">
        <v>60</v>
      </c>
      <c r="C40" s="81"/>
      <c r="D40" s="81" t="s">
        <v>61</v>
      </c>
      <c r="E40" s="81"/>
      <c r="F40" s="82" t="s">
        <v>62</v>
      </c>
      <c r="G40" s="83" t="s">
        <v>63</v>
      </c>
      <c r="H40" s="83" t="s">
        <v>64</v>
      </c>
      <c r="I40" s="84" t="s">
        <v>46</v>
      </c>
      <c r="J40" s="81" t="s">
        <v>65</v>
      </c>
      <c r="K40" s="85" t="s">
        <v>66</v>
      </c>
      <c r="L40" s="83" t="s">
        <v>67</v>
      </c>
      <c r="M40" s="83" t="s">
        <v>68</v>
      </c>
      <c r="N40" s="86"/>
      <c r="O40" s="86"/>
      <c r="P40" s="86"/>
      <c r="Q40" s="86"/>
      <c r="R40" s="86"/>
      <c r="S40" s="86"/>
      <c r="T40" s="86"/>
    </row>
    <row r="41" customFormat="false" ht="30.75" hidden="false" customHeight="true" outlineLevel="0" collapsed="false">
      <c r="A41" s="87"/>
      <c r="B41" s="88"/>
      <c r="C41" s="88"/>
      <c r="D41" s="89"/>
      <c r="E41" s="89"/>
      <c r="F41" s="90"/>
      <c r="G41" s="90"/>
      <c r="H41" s="89"/>
      <c r="I41" s="89"/>
      <c r="J41" s="89"/>
      <c r="K41" s="91"/>
      <c r="L41" s="92"/>
      <c r="M41" s="93"/>
      <c r="N41" s="94"/>
      <c r="O41" s="94"/>
      <c r="P41" s="94"/>
      <c r="Q41" s="94"/>
      <c r="R41" s="94"/>
      <c r="S41" s="94"/>
      <c r="T41" s="94"/>
    </row>
    <row r="43" customFormat="false" ht="15.75" hidden="false" customHeight="true" outlineLevel="0" collapsed="false">
      <c r="A43" s="95" t="s">
        <v>69</v>
      </c>
    </row>
    <row r="44" customFormat="false" ht="15" hidden="false" customHeight="true" outlineLevel="0" collapsed="false">
      <c r="A44" s="96" t="s">
        <v>70</v>
      </c>
      <c r="B44" s="96"/>
      <c r="C44" s="96"/>
      <c r="D44" s="96"/>
    </row>
    <row r="45" customFormat="false" ht="15.75" hidden="false" customHeight="true" outlineLevel="0" collapsed="false">
      <c r="A45" s="5"/>
    </row>
    <row r="46" customFormat="false" ht="30.75" hidden="false" customHeight="true" outlineLevel="0" collapsed="false">
      <c r="A46" s="54" t="s">
        <v>71</v>
      </c>
      <c r="B46" s="54"/>
      <c r="C46" s="78"/>
    </row>
    <row r="47" customFormat="false" ht="15.75" hidden="false" customHeight="true" outlineLevel="0" collapsed="false">
      <c r="A47" s="5"/>
    </row>
    <row r="48" customFormat="false" ht="18.75" hidden="false" customHeight="true" outlineLevel="0" collapsed="false">
      <c r="A48" s="97" t="s">
        <v>72</v>
      </c>
      <c r="B48" s="98" t="s">
        <v>38</v>
      </c>
      <c r="C48" s="99" t="n">
        <v>1331</v>
      </c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6"/>
      <c r="U48" s="16"/>
    </row>
    <row r="49" customFormat="false" ht="18.75" hidden="false" customHeight="true" outlineLevel="0" collapsed="false">
      <c r="A49" s="97"/>
      <c r="B49" s="97" t="s">
        <v>73</v>
      </c>
      <c r="C49" s="97"/>
      <c r="D49" s="97"/>
      <c r="E49" s="97"/>
      <c r="F49" s="97"/>
      <c r="G49" s="97"/>
      <c r="H49" s="97"/>
      <c r="I49" s="97"/>
      <c r="J49" s="97"/>
      <c r="K49" s="101" t="s">
        <v>74</v>
      </c>
      <c r="L49" s="101"/>
      <c r="M49" s="101"/>
      <c r="N49" s="101"/>
      <c r="O49" s="101"/>
      <c r="P49" s="101"/>
      <c r="Q49" s="101"/>
      <c r="R49" s="101"/>
      <c r="S49" s="101"/>
      <c r="T49" s="101"/>
      <c r="U49" s="101"/>
    </row>
    <row r="50" customFormat="false" ht="18.75" hidden="false" customHeight="true" outlineLevel="0" collapsed="false">
      <c r="A50" s="97"/>
      <c r="B50" s="102" t="s">
        <v>75</v>
      </c>
      <c r="C50" s="103" t="s">
        <v>76</v>
      </c>
      <c r="D50" s="103" t="s">
        <v>77</v>
      </c>
      <c r="E50" s="104" t="s">
        <v>78</v>
      </c>
      <c r="F50" s="104" t="s">
        <v>79</v>
      </c>
      <c r="G50" s="104" t="s">
        <v>17</v>
      </c>
      <c r="H50" s="104" t="s">
        <v>18</v>
      </c>
      <c r="I50" s="104" t="s">
        <v>19</v>
      </c>
      <c r="J50" s="104" t="s">
        <v>20</v>
      </c>
      <c r="K50" s="105" t="s">
        <v>76</v>
      </c>
      <c r="L50" s="105" t="s">
        <v>80</v>
      </c>
      <c r="M50" s="105" t="s">
        <v>77</v>
      </c>
      <c r="N50" s="105" t="s">
        <v>81</v>
      </c>
      <c r="O50" s="105" t="s">
        <v>82</v>
      </c>
      <c r="P50" s="105" t="s">
        <v>83</v>
      </c>
      <c r="Q50" s="105" t="s">
        <v>17</v>
      </c>
      <c r="R50" s="105" t="s">
        <v>18</v>
      </c>
      <c r="S50" s="105" t="s">
        <v>19</v>
      </c>
      <c r="T50" s="105" t="s">
        <v>20</v>
      </c>
      <c r="U50" s="105" t="s">
        <v>84</v>
      </c>
    </row>
    <row r="51" customFormat="false" ht="18.75" hidden="false" customHeight="true" outlineLevel="0" collapsed="false">
      <c r="A51" s="106" t="n">
        <v>1</v>
      </c>
      <c r="B51" s="107" t="n">
        <v>46133</v>
      </c>
      <c r="C51" s="64" t="n">
        <v>120</v>
      </c>
      <c r="D51" s="108" t="n">
        <v>120</v>
      </c>
      <c r="E51" s="109" t="n">
        <v>0</v>
      </c>
      <c r="F51" s="108" t="n">
        <v>0</v>
      </c>
      <c r="G51" s="110" t="n">
        <v>120</v>
      </c>
      <c r="H51" s="70" t="n">
        <v>0</v>
      </c>
      <c r="I51" s="70" t="n">
        <v>0</v>
      </c>
      <c r="J51" s="70" t="n">
        <v>0</v>
      </c>
      <c r="K51" s="111" t="n">
        <f aca="false">C51</f>
        <v>120</v>
      </c>
      <c r="L51" s="112" t="n">
        <f aca="false">K51/$C$48</f>
        <v>0.0901577761081893</v>
      </c>
      <c r="M51" s="113" t="n">
        <f aca="false">D51</f>
        <v>120</v>
      </c>
      <c r="N51" s="114" t="n">
        <f aca="false">M51/$C$48</f>
        <v>0.0901577761081893</v>
      </c>
      <c r="O51" s="115" t="n">
        <f aca="false">SUM(G51:J51)</f>
        <v>120</v>
      </c>
      <c r="P51" s="112" t="n">
        <f aca="false">O51/$C$48</f>
        <v>0.0901577761081893</v>
      </c>
      <c r="Q51" s="111" t="n">
        <f aca="false">G51</f>
        <v>120</v>
      </c>
      <c r="R51" s="111" t="n">
        <f aca="false">H51</f>
        <v>0</v>
      </c>
      <c r="S51" s="111" t="n">
        <f aca="false">I51</f>
        <v>0</v>
      </c>
      <c r="T51" s="111" t="n">
        <f aca="false">J51</f>
        <v>0</v>
      </c>
      <c r="U51" s="111" t="n">
        <f aca="false">$C$48-O51</f>
        <v>1211</v>
      </c>
    </row>
    <row r="52" customFormat="false" ht="18.75" hidden="false" customHeight="true" outlineLevel="0" collapsed="false">
      <c r="A52" s="70" t="n">
        <v>2</v>
      </c>
      <c r="B52" s="107" t="n">
        <v>46134</v>
      </c>
      <c r="C52" s="64" t="n">
        <v>112</v>
      </c>
      <c r="D52" s="108" t="n">
        <v>112</v>
      </c>
      <c r="E52" s="109" t="n">
        <v>0</v>
      </c>
      <c r="F52" s="116" t="n">
        <v>0</v>
      </c>
      <c r="G52" s="110" t="n">
        <v>112</v>
      </c>
      <c r="H52" s="70" t="n">
        <v>0</v>
      </c>
      <c r="I52" s="70" t="n">
        <v>0</v>
      </c>
      <c r="J52" s="70" t="n">
        <v>0</v>
      </c>
      <c r="K52" s="111" t="n">
        <f aca="false">C51+C52</f>
        <v>232</v>
      </c>
      <c r="L52" s="112" t="n">
        <f aca="false">K52/$C$48</f>
        <v>0.174305033809166</v>
      </c>
      <c r="M52" s="113" t="n">
        <f aca="false">SUM(D51:D52)</f>
        <v>232</v>
      </c>
      <c r="N52" s="114" t="n">
        <f aca="false">M52/$C$48</f>
        <v>0.174305033809166</v>
      </c>
      <c r="O52" s="115" t="n">
        <f aca="true">IF(AND(B51&gt;=TODAY(),ISBLANK(G52)=TRUE()),0,O51+G52+H52+I52)</f>
        <v>232</v>
      </c>
      <c r="P52" s="112" t="n">
        <f aca="false">O52/$C$48</f>
        <v>0.174305033809166</v>
      </c>
      <c r="Q52" s="111" t="n">
        <f aca="true">IF(AND(B51&gt;=TODAY(),OR(ISBLANK(G52)=TRUE(),G52=0)),0,Q51+G52)</f>
        <v>232</v>
      </c>
      <c r="R52" s="111" t="n">
        <f aca="true">IF(AND(B51&gt;=TODAY(),OR(ISBLANK(H52)=TRUE(),H52=0)),0,R51+H52)</f>
        <v>0</v>
      </c>
      <c r="S52" s="111" t="n">
        <f aca="false">I52</f>
        <v>0</v>
      </c>
      <c r="T52" s="111" t="n">
        <f aca="false">J52</f>
        <v>0</v>
      </c>
      <c r="U52" s="111" t="n">
        <f aca="false">$C$48-O52</f>
        <v>1099</v>
      </c>
    </row>
    <row r="53" customFormat="false" ht="18.75" hidden="false" customHeight="true" outlineLevel="0" collapsed="false">
      <c r="A53" s="70" t="n">
        <v>3</v>
      </c>
      <c r="B53" s="107" t="n">
        <v>46135</v>
      </c>
      <c r="C53" s="64" t="n">
        <v>108</v>
      </c>
      <c r="D53" s="108" t="n">
        <v>108</v>
      </c>
      <c r="E53" s="117" t="n">
        <v>0</v>
      </c>
      <c r="F53" s="118" t="n">
        <v>0</v>
      </c>
      <c r="G53" s="110" t="n">
        <v>108</v>
      </c>
      <c r="H53" s="70" t="n">
        <v>0</v>
      </c>
      <c r="I53" s="70" t="n">
        <v>0</v>
      </c>
      <c r="J53" s="70" t="n">
        <v>0</v>
      </c>
      <c r="K53" s="111" t="n">
        <f aca="false">SUM(C51:C53)</f>
        <v>340</v>
      </c>
      <c r="L53" s="112" t="n">
        <f aca="false">K53/$C$48</f>
        <v>0.255447032306536</v>
      </c>
      <c r="M53" s="113" t="n">
        <f aca="false">SUM(D51:D53)</f>
        <v>340</v>
      </c>
      <c r="N53" s="114" t="n">
        <f aca="false">M53/$C$48</f>
        <v>0.255447032306536</v>
      </c>
      <c r="O53" s="115" t="n">
        <f aca="true">IF(AND(B52&gt;=TODAY(),ISBLANK(G53)=TRUE()),0,O52+G53+H53+I53)</f>
        <v>340</v>
      </c>
      <c r="P53" s="112" t="n">
        <f aca="false">O53/$C$48</f>
        <v>0.255447032306536</v>
      </c>
      <c r="Q53" s="111" t="n">
        <f aca="true">IF(AND(B52&gt;=TODAY(),OR(ISBLANK(G53)=TRUE(),G53=0)),0,Q52+G53)</f>
        <v>340</v>
      </c>
      <c r="R53" s="111" t="n">
        <f aca="true">IF(AND(B52&gt;=TODAY(),OR(ISBLANK(H53)=TRUE(),H53=0)),0,R52+H53)</f>
        <v>0</v>
      </c>
      <c r="S53" s="111" t="n">
        <f aca="false">I53</f>
        <v>0</v>
      </c>
      <c r="T53" s="111" t="n">
        <f aca="false">J53</f>
        <v>0</v>
      </c>
      <c r="U53" s="111" t="n">
        <f aca="false">$C$48-O53</f>
        <v>991</v>
      </c>
    </row>
    <row r="54" customFormat="false" ht="18.75" hidden="false" customHeight="true" outlineLevel="0" collapsed="false">
      <c r="A54" s="70" t="n">
        <v>4</v>
      </c>
      <c r="B54" s="107" t="n">
        <v>46136</v>
      </c>
      <c r="C54" s="119" t="n">
        <v>45</v>
      </c>
      <c r="D54" s="108" t="n">
        <v>45</v>
      </c>
      <c r="E54" s="117" t="n">
        <v>0</v>
      </c>
      <c r="F54" s="118" t="n">
        <v>0</v>
      </c>
      <c r="G54" s="110" t="n">
        <v>45</v>
      </c>
      <c r="H54" s="70" t="n">
        <v>0</v>
      </c>
      <c r="I54" s="70" t="n">
        <v>0</v>
      </c>
      <c r="J54" s="70" t="n">
        <v>0</v>
      </c>
      <c r="K54" s="111" t="n">
        <f aca="false">SUM(C52:C54)</f>
        <v>265</v>
      </c>
      <c r="L54" s="112" t="n">
        <f aca="false">K54/$C$48</f>
        <v>0.199098422238918</v>
      </c>
      <c r="M54" s="113" t="n">
        <f aca="false">SUM(D52:D54)</f>
        <v>265</v>
      </c>
      <c r="N54" s="114" t="n">
        <f aca="false">M54/$C$48</f>
        <v>0.199098422238918</v>
      </c>
      <c r="O54" s="115" t="n">
        <f aca="true">IF(AND(B53&gt;=TODAY(),ISBLANK(G54)=TRUE()),0,O53+G54+H54+I54)</f>
        <v>385</v>
      </c>
      <c r="P54" s="112" t="n">
        <f aca="false">O54/$C$48</f>
        <v>0.289256198347107</v>
      </c>
      <c r="Q54" s="111" t="n">
        <f aca="true">IF(AND(B53&gt;=TODAY(),OR(ISBLANK(G54)=TRUE(),G54=0)),0,Q53+G54)</f>
        <v>385</v>
      </c>
      <c r="R54" s="111" t="n">
        <f aca="true">IF(AND(B53&gt;=TODAY(),OR(ISBLANK(H54)=TRUE(),H54=0)),0,R53+H54)</f>
        <v>0</v>
      </c>
      <c r="S54" s="111" t="n">
        <f aca="false">I54</f>
        <v>0</v>
      </c>
      <c r="T54" s="111" t="n">
        <f aca="false">J54</f>
        <v>0</v>
      </c>
      <c r="U54" s="111" t="n">
        <f aca="false">$C$48-O54</f>
        <v>946</v>
      </c>
    </row>
    <row r="55" customFormat="false" ht="18.75" hidden="false" customHeight="true" outlineLevel="0" collapsed="false">
      <c r="A55" s="70" t="n">
        <v>5</v>
      </c>
      <c r="B55" s="107" t="n">
        <v>46139</v>
      </c>
      <c r="C55" s="119" t="n">
        <v>0</v>
      </c>
      <c r="D55" s="108" t="n">
        <v>0</v>
      </c>
      <c r="E55" s="117" t="n">
        <v>0</v>
      </c>
      <c r="F55" s="118" t="n">
        <v>0</v>
      </c>
      <c r="G55" s="110" t="n">
        <v>0</v>
      </c>
      <c r="H55" s="70" t="n">
        <v>0</v>
      </c>
      <c r="I55" s="70" t="n">
        <v>0</v>
      </c>
      <c r="J55" s="70" t="n">
        <v>0</v>
      </c>
      <c r="K55" s="111" t="n">
        <f aca="false">SUM(C53:C55)</f>
        <v>153</v>
      </c>
      <c r="L55" s="112" t="n">
        <f aca="false">K55/$C$48</f>
        <v>0.114951164537941</v>
      </c>
      <c r="M55" s="113" t="n">
        <f aca="false">SUM(D53:D55)</f>
        <v>153</v>
      </c>
      <c r="N55" s="114" t="n">
        <f aca="false">M55/$C$48</f>
        <v>0.114951164537941</v>
      </c>
      <c r="O55" s="115" t="n">
        <f aca="true">IF(AND(B54&gt;=TODAY(),ISBLANK(G55)=TRUE()),0,O54+G55+H55+I55)</f>
        <v>385</v>
      </c>
      <c r="P55" s="112" t="n">
        <f aca="false">O55/$C$48</f>
        <v>0.289256198347107</v>
      </c>
      <c r="Q55" s="111" t="n">
        <f aca="true">IF(AND(B54&gt;=TODAY(),OR(ISBLANK(G55)=TRUE(),G55=0)),0,Q54+G55)</f>
        <v>0</v>
      </c>
      <c r="R55" s="111" t="n">
        <f aca="true">IF(AND(B54&gt;=TODAY(),OR(ISBLANK(H55)=TRUE(),H55=0)),0,R54+H55)</f>
        <v>0</v>
      </c>
      <c r="S55" s="111" t="n">
        <f aca="false">I55</f>
        <v>0</v>
      </c>
      <c r="T55" s="111" t="n">
        <f aca="false">J55</f>
        <v>0</v>
      </c>
      <c r="U55" s="111" t="n">
        <f aca="false">$C$48-O55</f>
        <v>946</v>
      </c>
    </row>
    <row r="56" customFormat="false" ht="18.75" hidden="false" customHeight="true" outlineLevel="0" collapsed="false">
      <c r="A56" s="16"/>
      <c r="B56" s="107"/>
      <c r="C56" s="105" t="n">
        <f aca="false">SUM(C51:C55)</f>
        <v>385</v>
      </c>
      <c r="D56" s="120" t="n">
        <f aca="false">SUM(D51:D55)</f>
        <v>385</v>
      </c>
      <c r="E56" s="121" t="n">
        <f aca="false">SUM(E51:E55)</f>
        <v>0</v>
      </c>
      <c r="F56" s="121" t="n">
        <f aca="false">SUM(F51:F55)</f>
        <v>0</v>
      </c>
      <c r="G56" s="121" t="n">
        <f aca="false">SUM(G51:G55)</f>
        <v>385</v>
      </c>
      <c r="H56" s="105" t="n">
        <f aca="false">SUM(H51:H55)</f>
        <v>0</v>
      </c>
      <c r="I56" s="105" t="n">
        <f aca="false">SUM(I51:I55)</f>
        <v>0</v>
      </c>
      <c r="J56" s="105" t="n">
        <f aca="false">SUM(J51:J55)</f>
        <v>0</v>
      </c>
      <c r="K56" s="16"/>
      <c r="L56" s="122"/>
      <c r="M56" s="123"/>
      <c r="N56" s="16"/>
      <c r="O56" s="16"/>
      <c r="P56" s="16"/>
      <c r="Q56" s="16"/>
      <c r="R56" s="16"/>
      <c r="S56" s="16"/>
      <c r="T56" s="16"/>
      <c r="U56" s="16"/>
    </row>
    <row r="57" customFormat="false" ht="18.75" hidden="false" customHeight="true" outlineLevel="0" collapsed="false">
      <c r="A57" s="16"/>
      <c r="B57" s="124"/>
      <c r="C57" s="16"/>
      <c r="D57" s="125" t="s">
        <v>85</v>
      </c>
      <c r="E57" s="126" t="n">
        <f aca="false">G56+I56</f>
        <v>385</v>
      </c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</row>
    <row r="58" customFormat="false" ht="18.75" hidden="false" customHeight="true" outlineLevel="0" collapsed="false">
      <c r="A58" s="16"/>
      <c r="B58" s="124"/>
      <c r="C58" s="16"/>
      <c r="D58" s="125" t="s">
        <v>86</v>
      </c>
      <c r="E58" s="126" t="n">
        <f aca="false">SUM(G56:I56)</f>
        <v>385</v>
      </c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</row>
    <row r="59" customFormat="false" ht="18.75" hidden="false" customHeight="true" outlineLevel="0" collapsed="false">
      <c r="A59" s="16"/>
      <c r="B59" s="124"/>
      <c r="C59" s="16"/>
      <c r="D59" s="125" t="s">
        <v>87</v>
      </c>
      <c r="E59" s="127" t="n">
        <f aca="false">E57/E58</f>
        <v>1</v>
      </c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</row>
    <row r="60" customFormat="false" ht="15.75" hidden="false" customHeight="true" outlineLevel="0" collapsed="false">
      <c r="A60" s="5"/>
      <c r="B60" s="5"/>
    </row>
    <row r="61" customFormat="false" ht="15.75" hidden="false" customHeight="true" outlineLevel="0" collapsed="false">
      <c r="A61" s="5"/>
    </row>
    <row r="62" customFormat="false" ht="18.75" hidden="false" customHeight="true" outlineLevel="0" collapsed="false">
      <c r="A62" s="128"/>
      <c r="B62" s="129" t="s">
        <v>88</v>
      </c>
    </row>
    <row r="63" customFormat="false" ht="15.75" hidden="false" customHeight="true" outlineLevel="0" collapsed="false">
      <c r="A63" s="5"/>
    </row>
    <row r="64" customFormat="false" ht="15.75" hidden="false" customHeight="true" outlineLevel="0" collapsed="false">
      <c r="A64" s="130" t="s">
        <v>89</v>
      </c>
      <c r="B64" s="131"/>
    </row>
    <row r="65" customFormat="false" ht="15.75" hidden="false" customHeight="true" outlineLevel="0" collapsed="false">
      <c r="A65" s="132" t="s">
        <v>8</v>
      </c>
      <c r="B65" s="131" t="s">
        <v>90</v>
      </c>
      <c r="E65" s="133"/>
      <c r="G65" s="5"/>
    </row>
    <row r="66" customFormat="false" ht="16.5" hidden="false" customHeight="true" outlineLevel="0" collapsed="false">
      <c r="A66" s="134" t="s">
        <v>91</v>
      </c>
      <c r="B66" s="131" t="s">
        <v>92</v>
      </c>
      <c r="E66" s="133"/>
      <c r="F66" s="5"/>
      <c r="H66" s="5"/>
    </row>
    <row r="67" customFormat="false" ht="15.75" hidden="false" customHeight="true" outlineLevel="0" collapsed="false">
      <c r="A67" s="135" t="s">
        <v>93</v>
      </c>
      <c r="B67" s="131" t="s">
        <v>94</v>
      </c>
      <c r="E67" s="133"/>
    </row>
    <row r="68" customFormat="false" ht="15.75" hidden="false" customHeight="true" outlineLevel="0" collapsed="false">
      <c r="A68" s="5"/>
    </row>
    <row r="69" customFormat="false" ht="15.75" hidden="false" customHeight="true" outlineLevel="0" collapsed="false">
      <c r="A69" s="136"/>
    </row>
    <row r="70" customFormat="false" ht="15.75" hidden="false" customHeight="true" outlineLevel="0" collapsed="false">
      <c r="A70" s="137" t="s">
        <v>95</v>
      </c>
      <c r="B70" s="138"/>
    </row>
    <row r="71" customFormat="false" ht="15.75" hidden="false" customHeight="true" outlineLevel="0" collapsed="false">
      <c r="A71" s="132" t="s">
        <v>96</v>
      </c>
      <c r="B71" s="138"/>
    </row>
    <row r="72" customFormat="false" ht="15.75" hidden="false" customHeight="true" outlineLevel="0" collapsed="false">
      <c r="A72" s="139" t="s">
        <v>96</v>
      </c>
      <c r="B72" s="138"/>
    </row>
    <row r="73" customFormat="false" ht="15.75" hidden="false" customHeight="true" outlineLevel="0" collapsed="false">
      <c r="A73" s="140" t="s">
        <v>96</v>
      </c>
      <c r="B73" s="138"/>
    </row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30:T30"/>
  <mergeCells count="33">
    <mergeCell ref="A2:D2"/>
    <mergeCell ref="A5:B5"/>
    <mergeCell ref="C5:D5"/>
    <mergeCell ref="A11:A12"/>
    <mergeCell ref="B11:D11"/>
    <mergeCell ref="E11:K11"/>
    <mergeCell ref="L11:M12"/>
    <mergeCell ref="L13:M13"/>
    <mergeCell ref="A16:F16"/>
    <mergeCell ref="A22:D25"/>
    <mergeCell ref="C30:D30"/>
    <mergeCell ref="E30:F30"/>
    <mergeCell ref="Q30:S30"/>
    <mergeCell ref="C31:D31"/>
    <mergeCell ref="E31:F31"/>
    <mergeCell ref="Q31:S31"/>
    <mergeCell ref="C32:D32"/>
    <mergeCell ref="E32:F32"/>
    <mergeCell ref="Q32:S32"/>
    <mergeCell ref="C33:D33"/>
    <mergeCell ref="E33:F33"/>
    <mergeCell ref="Q33:S33"/>
    <mergeCell ref="C34:D34"/>
    <mergeCell ref="E34:F34"/>
    <mergeCell ref="Q34:S34"/>
    <mergeCell ref="B40:C40"/>
    <mergeCell ref="D40:E40"/>
    <mergeCell ref="B41:C41"/>
    <mergeCell ref="D41:E41"/>
    <mergeCell ref="A46:B46"/>
    <mergeCell ref="A48:A50"/>
    <mergeCell ref="B49:J49"/>
    <mergeCell ref="K49:U49"/>
  </mergeCells>
  <conditionalFormatting sqref="B10">
    <cfRule type="containsText" priority="2" operator="containsText" aboveAverage="0" equalAverage="0" bottom="0" percent="0" rank="0" text="AMBER" dxfId="3">
      <formula>NOT(ISERROR(SEARCH("AMBER",B10)))</formula>
    </cfRule>
    <cfRule type="containsText" priority="3" operator="containsText" aboveAverage="0" equalAverage="0" bottom="0" percent="0" rank="0" text="RED" dxfId="4">
      <formula>NOT(ISERROR(SEARCH("RED",B10)))</formula>
    </cfRule>
    <cfRule type="containsText" priority="4" operator="containsText" aboveAverage="0" equalAverage="0" bottom="0" percent="0" rank="0" text="GREEN" dxfId="5">
      <formula>NOT(ISERROR(SEARCH("GREEN",B10)))</formula>
    </cfRule>
  </conditionalFormatting>
  <dataValidations count="1">
    <dataValidation allowBlank="true" errorStyle="stop" operator="between" showDropDown="false" showErrorMessage="true" showInputMessage="false" sqref="B31:B34" type="list">
      <formula1>"Sprint 5.1,Sprint 5.2"</formula1>
      <formula2>0</formula2>
    </dataValidation>
  </dataValidations>
  <hyperlinks>
    <hyperlink ref="C31" r:id="rId1" display="https://snpgroup.atlassian.net/browse/SPPAT-1724"/>
    <hyperlink ref="C32" r:id="rId2" display="https://snpgroup.atlassian.net/browse/SPPAT-1725"/>
    <hyperlink ref="C33" r:id="rId3" display="https://snpgroup.atlassian.net/browse/SPPAT-1741"/>
    <hyperlink ref="C34" r:id="rId4" display="https://snpgroup.atlassian.net/browse/SPPAT-1748 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48576"/>
  <sheetViews>
    <sheetView showFormulas="false" showGridLines="true" showRowColHeaders="true" showZeros="true" rightToLeft="false" tabSelected="false" showOutlineSymbols="true" defaultGridColor="true" view="normal" topLeftCell="A1" colorId="64" zoomScale="78" zoomScaleNormal="78" zoomScalePageLayoutView="100" workbookViewId="0">
      <pane xSplit="8" ySplit="1" topLeftCell="L6" activePane="bottomRight" state="frozen"/>
      <selection pane="topLeft" activeCell="A1" activeCellId="0" sqref="A1"/>
      <selection pane="topRight" activeCell="L1" activeCellId="0" sqref="L1"/>
      <selection pane="bottomLeft" activeCell="A6" activeCellId="0" sqref="A6"/>
      <selection pane="bottomRight" activeCell="A12" activeCellId="0" sqref="A12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41" width="8"/>
    <col collapsed="false" customWidth="true" hidden="false" outlineLevel="0" max="2" min="2" style="142" width="11.86"/>
    <col collapsed="false" customWidth="true" hidden="false" outlineLevel="0" max="3" min="3" style="142" width="11.15"/>
    <col collapsed="false" customWidth="true" hidden="false" outlineLevel="0" max="4" min="4" style="142" width="21.71"/>
    <col collapsed="false" customWidth="true" hidden="false" outlineLevel="0" max="5" min="5" style="143" width="37.43"/>
    <col collapsed="false" customWidth="true" hidden="false" outlineLevel="0" max="6" min="6" style="142" width="17.14"/>
    <col collapsed="false" customWidth="true" hidden="false" outlineLevel="0" max="7" min="7" style="144" width="18.14"/>
    <col collapsed="false" customWidth="true" hidden="false" outlineLevel="0" max="8" min="8" style="142" width="32.72"/>
    <col collapsed="false" customWidth="true" hidden="false" outlineLevel="0" max="9" min="9" style="144" width="41.43"/>
    <col collapsed="false" customWidth="true" hidden="false" outlineLevel="0" max="10" min="10" style="142" width="36.86"/>
    <col collapsed="false" customWidth="true" hidden="false" outlineLevel="0" max="11" min="11" style="144" width="31"/>
    <col collapsed="false" customWidth="true" hidden="false" outlineLevel="0" max="12" min="12" style="142" width="59.43"/>
    <col collapsed="false" customWidth="true" hidden="false" outlineLevel="0" max="13" min="13" style="142" width="15.86"/>
    <col collapsed="false" customWidth="true" hidden="false" outlineLevel="0" max="14" min="14" style="142" width="13.43"/>
    <col collapsed="false" customWidth="true" hidden="false" outlineLevel="0" max="15" min="15" style="142" width="19.72"/>
    <col collapsed="false" customWidth="true" hidden="false" outlineLevel="0" max="16" min="16" style="142" width="20.43"/>
    <col collapsed="false" customWidth="true" hidden="false" outlineLevel="0" max="17" min="17" style="142" width="10.43"/>
    <col collapsed="false" customWidth="true" hidden="false" outlineLevel="0" max="18" min="18" style="144" width="21.29"/>
    <col collapsed="false" customWidth="true" hidden="false" outlineLevel="0" max="19" min="19" style="144" width="20.43"/>
    <col collapsed="false" customWidth="true" hidden="false" outlineLevel="0" max="20" min="20" style="144" width="18.86"/>
    <col collapsed="false" customWidth="true" hidden="false" outlineLevel="0" max="21" min="21" style="144" width="19.43"/>
    <col collapsed="false" customWidth="true" hidden="false" outlineLevel="0" max="23" min="22" style="144" width="24.72"/>
    <col collapsed="false" customWidth="true" hidden="false" outlineLevel="0" max="24" min="24" style="144" width="23.86"/>
    <col collapsed="false" customWidth="true" hidden="false" outlineLevel="0" max="62" min="25" style="144" width="9.14"/>
    <col collapsed="false" customWidth="false" hidden="false" outlineLevel="0" max="16384" min="63" style="144" width="14.43"/>
  </cols>
  <sheetData>
    <row r="1" customFormat="false" ht="22.5" hidden="false" customHeight="true" outlineLevel="0" collapsed="false">
      <c r="A1" s="145" t="s">
        <v>97</v>
      </c>
      <c r="B1" s="145" t="s">
        <v>98</v>
      </c>
      <c r="C1" s="145" t="s">
        <v>99</v>
      </c>
      <c r="D1" s="145" t="s">
        <v>100</v>
      </c>
      <c r="E1" s="146" t="s">
        <v>101</v>
      </c>
      <c r="F1" s="145" t="s">
        <v>102</v>
      </c>
      <c r="G1" s="145" t="s">
        <v>103</v>
      </c>
      <c r="H1" s="145" t="s">
        <v>104</v>
      </c>
      <c r="I1" s="145" t="s">
        <v>105</v>
      </c>
      <c r="J1" s="145" t="s">
        <v>106</v>
      </c>
      <c r="K1" s="145" t="s">
        <v>107</v>
      </c>
      <c r="L1" s="145" t="s">
        <v>108</v>
      </c>
      <c r="M1" s="145" t="s">
        <v>109</v>
      </c>
      <c r="N1" s="145" t="s">
        <v>110</v>
      </c>
      <c r="O1" s="145" t="s">
        <v>111</v>
      </c>
      <c r="P1" s="145" t="s">
        <v>112</v>
      </c>
      <c r="Q1" s="145" t="s">
        <v>113</v>
      </c>
      <c r="R1" s="145" t="s">
        <v>114</v>
      </c>
      <c r="S1" s="145" t="s">
        <v>115</v>
      </c>
      <c r="T1" s="145" t="s">
        <v>116</v>
      </c>
      <c r="U1" s="145" t="s">
        <v>117</v>
      </c>
      <c r="V1" s="145" t="s">
        <v>118</v>
      </c>
      <c r="W1" s="145" t="s">
        <v>119</v>
      </c>
      <c r="X1" s="145" t="s">
        <v>120</v>
      </c>
    </row>
    <row r="2" customFormat="false" ht="108.75" hidden="false" customHeight="true" outlineLevel="0" collapsed="false">
      <c r="A2" s="147" t="n">
        <f aca="false">ROW(A1)</f>
        <v>1</v>
      </c>
      <c r="B2" s="148" t="s">
        <v>47</v>
      </c>
      <c r="C2" s="149" t="s">
        <v>121</v>
      </c>
      <c r="D2" s="150" t="s">
        <v>48</v>
      </c>
      <c r="E2" s="151" t="s">
        <v>49</v>
      </c>
      <c r="F2" s="152" t="s">
        <v>122</v>
      </c>
      <c r="G2" s="152" t="s">
        <v>50</v>
      </c>
      <c r="H2" s="68" t="s">
        <v>123</v>
      </c>
      <c r="I2" s="68" t="s">
        <v>124</v>
      </c>
      <c r="J2" s="68" t="s">
        <v>125</v>
      </c>
      <c r="K2" s="68" t="s">
        <v>126</v>
      </c>
      <c r="L2" s="68" t="s">
        <v>127</v>
      </c>
      <c r="M2" s="68" t="s">
        <v>128</v>
      </c>
      <c r="N2" s="68" t="s">
        <v>25</v>
      </c>
      <c r="O2" s="68" t="s">
        <v>129</v>
      </c>
      <c r="P2" s="152" t="s">
        <v>26</v>
      </c>
      <c r="Q2" s="152" t="s">
        <v>130</v>
      </c>
      <c r="R2" s="148" t="s">
        <v>17</v>
      </c>
      <c r="S2" s="152"/>
      <c r="T2" s="153" t="n">
        <v>46133</v>
      </c>
      <c r="U2" s="148" t="s">
        <v>131</v>
      </c>
      <c r="V2" s="154"/>
      <c r="W2" s="154"/>
      <c r="X2" s="152"/>
    </row>
    <row r="3" customFormat="false" ht="108.75" hidden="false" customHeight="true" outlineLevel="0" collapsed="false">
      <c r="A3" s="147" t="n">
        <f aca="false">ROW(A2)</f>
        <v>2</v>
      </c>
      <c r="B3" s="148" t="s">
        <v>47</v>
      </c>
      <c r="C3" s="149" t="s">
        <v>132</v>
      </c>
      <c r="D3" s="150" t="s">
        <v>48</v>
      </c>
      <c r="E3" s="151" t="s">
        <v>49</v>
      </c>
      <c r="F3" s="152" t="s">
        <v>122</v>
      </c>
      <c r="G3" s="152" t="s">
        <v>50</v>
      </c>
      <c r="H3" s="68" t="s">
        <v>133</v>
      </c>
      <c r="I3" s="68" t="s">
        <v>134</v>
      </c>
      <c r="J3" s="68" t="s">
        <v>135</v>
      </c>
      <c r="K3" s="68" t="s">
        <v>136</v>
      </c>
      <c r="L3" s="68" t="s">
        <v>137</v>
      </c>
      <c r="M3" s="155" t="s">
        <v>138</v>
      </c>
      <c r="N3" s="68" t="s">
        <v>26</v>
      </c>
      <c r="O3" s="68" t="s">
        <v>129</v>
      </c>
      <c r="P3" s="152" t="s">
        <v>26</v>
      </c>
      <c r="Q3" s="152" t="s">
        <v>130</v>
      </c>
      <c r="R3" s="148" t="s">
        <v>17</v>
      </c>
      <c r="S3" s="152"/>
      <c r="T3" s="153" t="n">
        <v>46133</v>
      </c>
      <c r="U3" s="148" t="s">
        <v>131</v>
      </c>
      <c r="V3" s="156"/>
      <c r="W3" s="157"/>
      <c r="X3" s="152"/>
    </row>
    <row r="4" customFormat="false" ht="108.75" hidden="false" customHeight="true" outlineLevel="0" collapsed="false">
      <c r="A4" s="147" t="n">
        <f aca="false">ROW(A3)</f>
        <v>3</v>
      </c>
      <c r="B4" s="148" t="s">
        <v>47</v>
      </c>
      <c r="C4" s="149" t="s">
        <v>139</v>
      </c>
      <c r="D4" s="150" t="s">
        <v>48</v>
      </c>
      <c r="E4" s="151" t="s">
        <v>49</v>
      </c>
      <c r="F4" s="152" t="s">
        <v>122</v>
      </c>
      <c r="G4" s="152" t="s">
        <v>50</v>
      </c>
      <c r="H4" s="68" t="s">
        <v>140</v>
      </c>
      <c r="I4" s="68" t="s">
        <v>134</v>
      </c>
      <c r="J4" s="68" t="s">
        <v>141</v>
      </c>
      <c r="K4" s="68" t="s">
        <v>142</v>
      </c>
      <c r="L4" s="68" t="s">
        <v>143</v>
      </c>
      <c r="M4" s="68" t="s">
        <v>128</v>
      </c>
      <c r="N4" s="68" t="s">
        <v>25</v>
      </c>
      <c r="O4" s="68" t="s">
        <v>129</v>
      </c>
      <c r="P4" s="152" t="s">
        <v>26</v>
      </c>
      <c r="Q4" s="152" t="s">
        <v>130</v>
      </c>
      <c r="R4" s="148" t="s">
        <v>17</v>
      </c>
      <c r="S4" s="152"/>
      <c r="T4" s="153" t="n">
        <v>46133</v>
      </c>
      <c r="U4" s="148" t="s">
        <v>131</v>
      </c>
      <c r="V4" s="152"/>
      <c r="W4" s="152"/>
      <c r="X4" s="152"/>
    </row>
    <row r="5" customFormat="false" ht="108.75" hidden="false" customHeight="true" outlineLevel="0" collapsed="false">
      <c r="A5" s="147" t="n">
        <f aca="false">ROW(A4)</f>
        <v>4</v>
      </c>
      <c r="B5" s="148" t="s">
        <v>47</v>
      </c>
      <c r="C5" s="149" t="s">
        <v>144</v>
      </c>
      <c r="D5" s="150" t="s">
        <v>48</v>
      </c>
      <c r="E5" s="151" t="s">
        <v>49</v>
      </c>
      <c r="F5" s="152" t="s">
        <v>122</v>
      </c>
      <c r="G5" s="152" t="s">
        <v>50</v>
      </c>
      <c r="H5" s="68" t="s">
        <v>145</v>
      </c>
      <c r="I5" s="68" t="s">
        <v>124</v>
      </c>
      <c r="J5" s="68" t="s">
        <v>146</v>
      </c>
      <c r="K5" s="68" t="s">
        <v>147</v>
      </c>
      <c r="L5" s="68" t="s">
        <v>148</v>
      </c>
      <c r="M5" s="68" t="s">
        <v>138</v>
      </c>
      <c r="N5" s="68" t="s">
        <v>26</v>
      </c>
      <c r="O5" s="68" t="s">
        <v>129</v>
      </c>
      <c r="P5" s="152" t="s">
        <v>26</v>
      </c>
      <c r="Q5" s="152" t="s">
        <v>130</v>
      </c>
      <c r="R5" s="148" t="s">
        <v>17</v>
      </c>
      <c r="S5" s="152" t="s">
        <v>149</v>
      </c>
      <c r="T5" s="153" t="n">
        <v>46133</v>
      </c>
      <c r="U5" s="148" t="s">
        <v>131</v>
      </c>
      <c r="V5" s="156"/>
      <c r="W5" s="157"/>
      <c r="X5" s="152"/>
    </row>
    <row r="6" customFormat="false" ht="108.75" hidden="false" customHeight="true" outlineLevel="0" collapsed="false">
      <c r="A6" s="147" t="n">
        <f aca="false">ROW(A5)</f>
        <v>5</v>
      </c>
      <c r="B6" s="148" t="s">
        <v>47</v>
      </c>
      <c r="C6" s="149" t="s">
        <v>150</v>
      </c>
      <c r="D6" s="150" t="s">
        <v>48</v>
      </c>
      <c r="E6" s="151" t="s">
        <v>49</v>
      </c>
      <c r="F6" s="152" t="s">
        <v>122</v>
      </c>
      <c r="G6" s="152" t="s">
        <v>50</v>
      </c>
      <c r="H6" s="68" t="s">
        <v>151</v>
      </c>
      <c r="I6" s="68" t="s">
        <v>134</v>
      </c>
      <c r="J6" s="68" t="s">
        <v>152</v>
      </c>
      <c r="K6" s="68"/>
      <c r="L6" s="68" t="s">
        <v>153</v>
      </c>
      <c r="M6" s="155" t="s">
        <v>128</v>
      </c>
      <c r="N6" s="68" t="s">
        <v>25</v>
      </c>
      <c r="O6" s="68" t="s">
        <v>129</v>
      </c>
      <c r="P6" s="152" t="s">
        <v>26</v>
      </c>
      <c r="Q6" s="152" t="s">
        <v>130</v>
      </c>
      <c r="R6" s="148" t="s">
        <v>17</v>
      </c>
      <c r="S6" s="152"/>
      <c r="T6" s="153" t="n">
        <v>46133</v>
      </c>
      <c r="U6" s="148" t="s">
        <v>131</v>
      </c>
      <c r="V6" s="152"/>
      <c r="W6" s="152"/>
      <c r="X6" s="152"/>
    </row>
    <row r="7" customFormat="false" ht="108.75" hidden="false" customHeight="true" outlineLevel="0" collapsed="false">
      <c r="A7" s="147" t="n">
        <f aca="false">ROW(A6)</f>
        <v>6</v>
      </c>
      <c r="B7" s="148" t="s">
        <v>47</v>
      </c>
      <c r="C7" s="149" t="s">
        <v>154</v>
      </c>
      <c r="D7" s="150" t="s">
        <v>48</v>
      </c>
      <c r="E7" s="151" t="s">
        <v>49</v>
      </c>
      <c r="F7" s="152" t="s">
        <v>122</v>
      </c>
      <c r="G7" s="152" t="s">
        <v>50</v>
      </c>
      <c r="H7" s="68" t="s">
        <v>155</v>
      </c>
      <c r="I7" s="68" t="s">
        <v>134</v>
      </c>
      <c r="J7" s="68" t="s">
        <v>141</v>
      </c>
      <c r="K7" s="68" t="s">
        <v>156</v>
      </c>
      <c r="L7" s="68" t="s">
        <v>157</v>
      </c>
      <c r="M7" s="68" t="s">
        <v>138</v>
      </c>
      <c r="N7" s="68" t="s">
        <v>26</v>
      </c>
      <c r="O7" s="68" t="s">
        <v>129</v>
      </c>
      <c r="P7" s="152" t="s">
        <v>26</v>
      </c>
      <c r="Q7" s="152" t="s">
        <v>130</v>
      </c>
      <c r="R7" s="148" t="s">
        <v>17</v>
      </c>
      <c r="S7" s="152"/>
      <c r="T7" s="153" t="n">
        <v>46133</v>
      </c>
      <c r="U7" s="148" t="s">
        <v>131</v>
      </c>
      <c r="V7" s="152"/>
      <c r="W7" s="152"/>
      <c r="X7" s="152"/>
    </row>
    <row r="8" customFormat="false" ht="108.75" hidden="false" customHeight="true" outlineLevel="0" collapsed="false">
      <c r="A8" s="147" t="n">
        <f aca="false">ROW(A7)</f>
        <v>7</v>
      </c>
      <c r="B8" s="148" t="s">
        <v>47</v>
      </c>
      <c r="C8" s="149" t="s">
        <v>158</v>
      </c>
      <c r="D8" s="150" t="s">
        <v>51</v>
      </c>
      <c r="E8" s="68" t="s">
        <v>52</v>
      </c>
      <c r="F8" s="152" t="s">
        <v>122</v>
      </c>
      <c r="G8" s="152" t="s">
        <v>50</v>
      </c>
      <c r="H8" s="151" t="s">
        <v>159</v>
      </c>
      <c r="I8" s="151" t="s">
        <v>160</v>
      </c>
      <c r="J8" s="151" t="s">
        <v>161</v>
      </c>
      <c r="K8" s="151" t="s">
        <v>162</v>
      </c>
      <c r="L8" s="151" t="s">
        <v>163</v>
      </c>
      <c r="M8" s="151" t="s">
        <v>128</v>
      </c>
      <c r="N8" s="151" t="s">
        <v>26</v>
      </c>
      <c r="O8" s="151" t="s">
        <v>164</v>
      </c>
      <c r="P8" s="152" t="s">
        <v>26</v>
      </c>
      <c r="Q8" s="152" t="s">
        <v>130</v>
      </c>
      <c r="R8" s="148"/>
      <c r="S8" s="152"/>
      <c r="T8" s="153"/>
      <c r="U8" s="148"/>
      <c r="V8" s="152"/>
      <c r="W8" s="152"/>
      <c r="X8" s="152"/>
    </row>
    <row r="9" customFormat="false" ht="108.75" hidden="false" customHeight="true" outlineLevel="0" collapsed="false">
      <c r="A9" s="147" t="n">
        <f aca="false">ROW(A8)</f>
        <v>8</v>
      </c>
      <c r="B9" s="148" t="s">
        <v>47</v>
      </c>
      <c r="C9" s="149" t="s">
        <v>165</v>
      </c>
      <c r="D9" s="150" t="s">
        <v>51</v>
      </c>
      <c r="E9" s="68" t="s">
        <v>52</v>
      </c>
      <c r="F9" s="152" t="s">
        <v>122</v>
      </c>
      <c r="G9" s="152" t="s">
        <v>50</v>
      </c>
      <c r="H9" s="151" t="s">
        <v>166</v>
      </c>
      <c r="I9" s="151" t="s">
        <v>160</v>
      </c>
      <c r="J9" s="151" t="s">
        <v>167</v>
      </c>
      <c r="K9" s="151" t="s">
        <v>168</v>
      </c>
      <c r="L9" s="151" t="s">
        <v>169</v>
      </c>
      <c r="M9" s="151" t="s">
        <v>128</v>
      </c>
      <c r="N9" s="151" t="s">
        <v>26</v>
      </c>
      <c r="O9" s="151" t="s">
        <v>164</v>
      </c>
      <c r="P9" s="152" t="s">
        <v>26</v>
      </c>
      <c r="Q9" s="152" t="s">
        <v>130</v>
      </c>
      <c r="R9" s="148" t="s">
        <v>17</v>
      </c>
      <c r="S9" s="152"/>
      <c r="T9" s="153" t="n">
        <v>46133</v>
      </c>
      <c r="U9" s="148" t="s">
        <v>131</v>
      </c>
      <c r="V9" s="156"/>
      <c r="W9" s="158"/>
      <c r="X9" s="152"/>
    </row>
    <row r="10" customFormat="false" ht="108.75" hidden="false" customHeight="true" outlineLevel="0" collapsed="false">
      <c r="A10" s="147" t="n">
        <f aca="false">ROW(A9)</f>
        <v>9</v>
      </c>
      <c r="B10" s="148" t="s">
        <v>47</v>
      </c>
      <c r="C10" s="149" t="s">
        <v>170</v>
      </c>
      <c r="D10" s="150" t="s">
        <v>51</v>
      </c>
      <c r="E10" s="68" t="s">
        <v>52</v>
      </c>
      <c r="F10" s="152" t="s">
        <v>122</v>
      </c>
      <c r="G10" s="152" t="s">
        <v>50</v>
      </c>
      <c r="H10" s="151" t="s">
        <v>171</v>
      </c>
      <c r="I10" s="151" t="s">
        <v>160</v>
      </c>
      <c r="J10" s="151" t="s">
        <v>167</v>
      </c>
      <c r="K10" s="151" t="s">
        <v>172</v>
      </c>
      <c r="L10" s="151" t="s">
        <v>173</v>
      </c>
      <c r="M10" s="151" t="s">
        <v>138</v>
      </c>
      <c r="N10" s="151" t="s">
        <v>26</v>
      </c>
      <c r="O10" s="151" t="s">
        <v>164</v>
      </c>
      <c r="P10" s="152" t="s">
        <v>26</v>
      </c>
      <c r="Q10" s="159" t="s">
        <v>130</v>
      </c>
      <c r="R10" s="148" t="s">
        <v>17</v>
      </c>
      <c r="S10" s="152"/>
      <c r="T10" s="153" t="n">
        <v>46134</v>
      </c>
      <c r="U10" s="148" t="s">
        <v>131</v>
      </c>
      <c r="V10" s="156"/>
      <c r="W10" s="158"/>
      <c r="X10" s="152"/>
    </row>
    <row r="11" customFormat="false" ht="108.75" hidden="false" customHeight="true" outlineLevel="0" collapsed="false">
      <c r="A11" s="147" t="n">
        <f aca="false">ROW(A10)</f>
        <v>10</v>
      </c>
      <c r="B11" s="148" t="s">
        <v>47</v>
      </c>
      <c r="C11" s="149" t="s">
        <v>174</v>
      </c>
      <c r="D11" s="150" t="s">
        <v>51</v>
      </c>
      <c r="E11" s="68" t="s">
        <v>52</v>
      </c>
      <c r="F11" s="152" t="s">
        <v>122</v>
      </c>
      <c r="G11" s="152" t="s">
        <v>50</v>
      </c>
      <c r="H11" s="151" t="s">
        <v>175</v>
      </c>
      <c r="I11" s="151" t="s">
        <v>160</v>
      </c>
      <c r="J11" s="151" t="s">
        <v>176</v>
      </c>
      <c r="K11" s="151" t="s">
        <v>177</v>
      </c>
      <c r="L11" s="151" t="s">
        <v>178</v>
      </c>
      <c r="M11" s="151" t="s">
        <v>138</v>
      </c>
      <c r="N11" s="151" t="s">
        <v>26</v>
      </c>
      <c r="O11" s="151" t="s">
        <v>164</v>
      </c>
      <c r="P11" s="152" t="s">
        <v>26</v>
      </c>
      <c r="Q11" s="159" t="s">
        <v>130</v>
      </c>
      <c r="R11" s="148" t="s">
        <v>17</v>
      </c>
      <c r="S11" s="152"/>
      <c r="T11" s="153" t="n">
        <v>46134</v>
      </c>
      <c r="U11" s="148" t="s">
        <v>131</v>
      </c>
      <c r="V11" s="160"/>
      <c r="W11" s="158"/>
      <c r="X11" s="152"/>
    </row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conditionalFormatting sqref="M12:M184 O12:O184">
    <cfRule type="cellIs" priority="2" operator="equal" aboveAverage="0" equalAverage="0" bottom="0" percent="0" rank="0" text="" dxfId="11">
      <formula>"Blocked"</formula>
    </cfRule>
    <cfRule type="cellIs" priority="3" operator="equal" aboveAverage="0" equalAverage="0" bottom="0" percent="0" rank="0" text="" dxfId="12">
      <formula>"NA"</formula>
    </cfRule>
    <cfRule type="cellIs" priority="4" operator="equal" aboveAverage="0" equalAverage="0" bottom="0" percent="0" rank="0" text="" dxfId="13">
      <formula>"Failed"</formula>
    </cfRule>
    <cfRule type="cellIs" priority="5" operator="equal" aboveAverage="0" equalAverage="0" bottom="0" percent="0" rank="0" text="" dxfId="14">
      <formula>"Passed"</formula>
    </cfRule>
  </conditionalFormatting>
  <conditionalFormatting sqref="R12:R184 R1">
    <cfRule type="containsText" priority="6" operator="containsText" aboveAverage="0" equalAverage="0" bottom="0" percent="0" rank="0" text="Failed" dxfId="15">
      <formula>NOT(ISERROR(SEARCH("Failed",R1)))</formula>
    </cfRule>
    <cfRule type="containsText" priority="7" operator="containsText" aboveAverage="0" equalAverage="0" bottom="0" percent="0" rank="0" text="Passed" dxfId="16">
      <formula>NOT(ISERROR(SEARCH("Passed",R1)))</formula>
    </cfRule>
    <cfRule type="containsText" priority="8" operator="containsText" aboveAverage="0" equalAverage="0" bottom="0" percent="0" rank="0" text="NA" dxfId="17">
      <formula>NOT(ISERROR(SEARCH("NA",R1)))</formula>
    </cfRule>
    <cfRule type="containsText" priority="9" operator="containsText" aboveAverage="0" equalAverage="0" bottom="0" percent="0" rank="0" text="Not Tested" dxfId="18">
      <formula>NOT(ISERROR(SEARCH("Not Tested",R1)))</formula>
    </cfRule>
    <cfRule type="containsText" priority="10" operator="containsText" aboveAverage="0" equalAverage="0" bottom="0" percent="0" rank="0" text="Blocked" dxfId="19">
      <formula>NOT(ISERROR(SEARCH("Blocked",R1)))</formula>
    </cfRule>
  </conditionalFormatting>
  <conditionalFormatting sqref="R2:R11">
    <cfRule type="containsText" priority="11" operator="containsText" aboveAverage="0" equalAverage="0" bottom="0" percent="0" rank="0" text="Failed" dxfId="15">
      <formula>NOT(ISERROR(SEARCH("Failed",R2)))</formula>
    </cfRule>
    <cfRule type="containsText" priority="12" operator="containsText" aboveAverage="0" equalAverage="0" bottom="0" percent="0" rank="0" text="Passed" dxfId="16">
      <formula>NOT(ISERROR(SEARCH("Passed",R2)))</formula>
    </cfRule>
    <cfRule type="containsText" priority="13" operator="containsText" aboveAverage="0" equalAverage="0" bottom="0" percent="0" rank="0" text="NA" dxfId="17">
      <formula>NOT(ISERROR(SEARCH("NA",R2)))</formula>
    </cfRule>
    <cfRule type="containsText" priority="14" operator="containsText" aboveAverage="0" equalAverage="0" bottom="0" percent="0" rank="0" text="Not Tested" dxfId="18">
      <formula>NOT(ISERROR(SEARCH("Not Tested",R2)))</formula>
    </cfRule>
    <cfRule type="containsText" priority="15" operator="containsText" aboveAverage="0" equalAverage="0" bottom="0" percent="0" rank="0" text="Blocked" dxfId="19">
      <formula>NOT(ISERROR(SEARCH("Blocked",R2)))</formula>
    </cfRule>
  </conditionalFormatting>
  <dataValidations count="9">
    <dataValidation allowBlank="true" errorStyle="stop" operator="between" showDropDown="false" showErrorMessage="true" showInputMessage="false" sqref="Q12:Q184" type="list">
      <formula1>"Functional,UI"</formula1>
      <formula2>0</formula2>
    </dataValidation>
    <dataValidation allowBlank="true" errorStyle="stop" operator="between" showDropDown="false" showErrorMessage="true" showInputMessage="false" sqref="P12:P184" type="list">
      <formula1>"Low,Medium,High"</formula1>
      <formula2>0</formula2>
    </dataValidation>
    <dataValidation allowBlank="true" errorStyle="stop" operator="between" showDropDown="false" showErrorMessage="true" showInputMessage="false" sqref="O12:O184" type="list">
      <formula1>"Trivial,Minor,Normal,Major,Critical,Blocker"</formula1>
      <formula2>0</formula2>
    </dataValidation>
    <dataValidation allowBlank="true" errorStyle="stop" operator="between" showDropDown="false" showErrorMessage="true" showInputMessage="false" sqref="N12:N184" type="list">
      <formula1>"Low,Medium,High,Critical"</formula1>
      <formula2>0</formula2>
    </dataValidation>
    <dataValidation allowBlank="true" errorStyle="stop" operator="between" showDropDown="false" showErrorMessage="true" showInputMessage="false" sqref="M12:M184" type="list">
      <formula1>"Positive,Negative"</formula1>
      <formula2>0</formula2>
    </dataValidation>
    <dataValidation allowBlank="true" errorStyle="stop" operator="between" showDropDown="true" showErrorMessage="false" showInputMessage="false" sqref="T2:T11" type="custom">
      <formula1>OR(NOT(ISERROR(DATEVALUE(#REF!))), AND(ISNUMBER(#REF!), LEFT(CELL("format", #REF!))="D"))</formula1>
      <formula2>0</formula2>
    </dataValidation>
    <dataValidation allowBlank="true" errorStyle="stop" operator="between" showDropDown="false" showErrorMessage="true" showInputMessage="false" sqref="R2:R184" type="list">
      <formula1>"Passed,Failed,NA,Blocked,Not Tested"</formula1>
      <formula2>0</formula2>
    </dataValidation>
    <dataValidation allowBlank="true" errorStyle="stop" operator="between" showDropDown="false" showErrorMessage="true" showInputMessage="false" sqref="B2:B184" type="list">
      <formula1>"Sprint 5.1,Sprint 5.2"</formula1>
      <formula2>0</formula2>
    </dataValidation>
    <dataValidation allowBlank="true" errorStyle="stop" operator="between" showDropDown="false" showErrorMessage="true" showInputMessage="true" sqref="U1:U1011" type="list">
      <formula1>"Miftha,Shabrina,Meriyan,Rafif"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48576"/>
  <sheetViews>
    <sheetView showFormulas="false" showGridLines="true" showRowColHeaders="true" showZeros="true" rightToLeft="false" tabSelected="false" showOutlineSymbols="true" defaultGridColor="true" view="normal" topLeftCell="A1" colorId="64" zoomScale="78" zoomScaleNormal="78" zoomScalePageLayoutView="100" workbookViewId="0">
      <pane xSplit="8" ySplit="1" topLeftCell="Q10" activePane="bottomRight" state="frozen"/>
      <selection pane="topLeft" activeCell="A1" activeCellId="0" sqref="A1"/>
      <selection pane="topRight" activeCell="Q1" activeCellId="0" sqref="Q1"/>
      <selection pane="bottomLeft" activeCell="A10" activeCellId="0" sqref="A10"/>
      <selection pane="bottomRight" activeCell="A12" activeCellId="0" sqref="A12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41" width="8"/>
    <col collapsed="false" customWidth="true" hidden="false" outlineLevel="0" max="2" min="2" style="142" width="11.86"/>
    <col collapsed="false" customWidth="true" hidden="false" outlineLevel="0" max="3" min="3" style="142" width="11.15"/>
    <col collapsed="false" customWidth="true" hidden="false" outlineLevel="0" max="4" min="4" style="142" width="21.71"/>
    <col collapsed="false" customWidth="true" hidden="false" outlineLevel="0" max="5" min="5" style="143" width="37.43"/>
    <col collapsed="false" customWidth="true" hidden="false" outlineLevel="0" max="6" min="6" style="142" width="17.14"/>
    <col collapsed="false" customWidth="true" hidden="false" outlineLevel="0" max="7" min="7" style="144" width="18.14"/>
    <col collapsed="false" customWidth="true" hidden="false" outlineLevel="0" max="8" min="8" style="142" width="32.72"/>
    <col collapsed="false" customWidth="true" hidden="false" outlineLevel="0" max="9" min="9" style="144" width="41.43"/>
    <col collapsed="false" customWidth="true" hidden="false" outlineLevel="0" max="10" min="10" style="142" width="36.86"/>
    <col collapsed="false" customWidth="true" hidden="false" outlineLevel="0" max="11" min="11" style="144" width="31"/>
    <col collapsed="false" customWidth="true" hidden="false" outlineLevel="0" max="12" min="12" style="142" width="59.43"/>
    <col collapsed="false" customWidth="true" hidden="false" outlineLevel="0" max="13" min="13" style="142" width="15.86"/>
    <col collapsed="false" customWidth="true" hidden="false" outlineLevel="0" max="14" min="14" style="142" width="13.43"/>
    <col collapsed="false" customWidth="true" hidden="false" outlineLevel="0" max="15" min="15" style="142" width="19.72"/>
    <col collapsed="false" customWidth="true" hidden="false" outlineLevel="0" max="16" min="16" style="142" width="20.43"/>
    <col collapsed="false" customWidth="true" hidden="false" outlineLevel="0" max="17" min="17" style="142" width="10.43"/>
    <col collapsed="false" customWidth="true" hidden="false" outlineLevel="0" max="18" min="18" style="144" width="21.29"/>
    <col collapsed="false" customWidth="true" hidden="false" outlineLevel="0" max="19" min="19" style="144" width="20.43"/>
    <col collapsed="false" customWidth="true" hidden="false" outlineLevel="0" max="20" min="20" style="144" width="18.86"/>
    <col collapsed="false" customWidth="true" hidden="false" outlineLevel="0" max="21" min="21" style="144" width="19.43"/>
    <col collapsed="false" customWidth="true" hidden="false" outlineLevel="0" max="22" min="22" style="144" width="24.72"/>
    <col collapsed="false" customWidth="true" hidden="false" outlineLevel="0" max="23" min="23" style="144" width="23.86"/>
    <col collapsed="false" customWidth="true" hidden="false" outlineLevel="0" max="61" min="24" style="144" width="9.14"/>
    <col collapsed="false" customWidth="false" hidden="false" outlineLevel="0" max="16384" min="62" style="144" width="14.43"/>
  </cols>
  <sheetData>
    <row r="1" customFormat="false" ht="22.5" hidden="false" customHeight="true" outlineLevel="0" collapsed="false">
      <c r="A1" s="161" t="s">
        <v>97</v>
      </c>
      <c r="B1" s="161" t="s">
        <v>98</v>
      </c>
      <c r="C1" s="161" t="s">
        <v>99</v>
      </c>
      <c r="D1" s="161" t="s">
        <v>100</v>
      </c>
      <c r="E1" s="162" t="s">
        <v>101</v>
      </c>
      <c r="F1" s="161" t="s">
        <v>102</v>
      </c>
      <c r="G1" s="161" t="s">
        <v>103</v>
      </c>
      <c r="H1" s="161" t="s">
        <v>104</v>
      </c>
      <c r="I1" s="161" t="s">
        <v>105</v>
      </c>
      <c r="J1" s="161" t="s">
        <v>106</v>
      </c>
      <c r="K1" s="161" t="s">
        <v>107</v>
      </c>
      <c r="L1" s="161" t="s">
        <v>108</v>
      </c>
      <c r="M1" s="161" t="s">
        <v>109</v>
      </c>
      <c r="N1" s="161" t="s">
        <v>110</v>
      </c>
      <c r="O1" s="161" t="s">
        <v>111</v>
      </c>
      <c r="P1" s="161" t="s">
        <v>112</v>
      </c>
      <c r="Q1" s="161" t="s">
        <v>113</v>
      </c>
      <c r="R1" s="161" t="s">
        <v>114</v>
      </c>
      <c r="S1" s="161" t="s">
        <v>115</v>
      </c>
      <c r="T1" s="161" t="s">
        <v>116</v>
      </c>
      <c r="U1" s="161" t="s">
        <v>117</v>
      </c>
      <c r="V1" s="161" t="s">
        <v>118</v>
      </c>
      <c r="W1" s="161" t="s">
        <v>120</v>
      </c>
    </row>
    <row r="2" customFormat="false" ht="108.75" hidden="false" customHeight="true" outlineLevel="0" collapsed="false">
      <c r="A2" s="163" t="n">
        <f aca="false">ROW(A1)</f>
        <v>1</v>
      </c>
      <c r="B2" s="164" t="s">
        <v>47</v>
      </c>
      <c r="C2" s="165" t="s">
        <v>179</v>
      </c>
      <c r="D2" s="166" t="s">
        <v>53</v>
      </c>
      <c r="E2" s="167" t="s">
        <v>54</v>
      </c>
      <c r="F2" s="168" t="s">
        <v>180</v>
      </c>
      <c r="G2" s="169" t="s">
        <v>50</v>
      </c>
      <c r="H2" s="170" t="s">
        <v>181</v>
      </c>
      <c r="I2" s="170" t="s">
        <v>182</v>
      </c>
      <c r="J2" s="171" t="s">
        <v>183</v>
      </c>
      <c r="K2" s="171" t="s">
        <v>184</v>
      </c>
      <c r="L2" s="171" t="s">
        <v>185</v>
      </c>
      <c r="M2" s="172" t="s">
        <v>128</v>
      </c>
      <c r="N2" s="172" t="s">
        <v>26</v>
      </c>
      <c r="O2" s="172" t="s">
        <v>129</v>
      </c>
      <c r="P2" s="169" t="s">
        <v>26</v>
      </c>
      <c r="Q2" s="169" t="s">
        <v>130</v>
      </c>
      <c r="R2" s="170" t="s">
        <v>17</v>
      </c>
      <c r="S2" s="168"/>
      <c r="T2" s="173" t="n">
        <v>46133</v>
      </c>
      <c r="U2" s="170" t="s">
        <v>186</v>
      </c>
      <c r="V2" s="174" t="s">
        <v>187</v>
      </c>
      <c r="W2" s="168"/>
    </row>
    <row r="3" customFormat="false" ht="108.75" hidden="false" customHeight="true" outlineLevel="0" collapsed="false">
      <c r="A3" s="147" t="n">
        <f aca="false">ROW(A2)</f>
        <v>2</v>
      </c>
      <c r="B3" s="148" t="s">
        <v>47</v>
      </c>
      <c r="C3" s="149" t="s">
        <v>188</v>
      </c>
      <c r="D3" s="66" t="s">
        <v>53</v>
      </c>
      <c r="E3" s="151" t="s">
        <v>54</v>
      </c>
      <c r="F3" s="175" t="s">
        <v>180</v>
      </c>
      <c r="G3" s="152" t="s">
        <v>50</v>
      </c>
      <c r="H3" s="68" t="s">
        <v>189</v>
      </c>
      <c r="I3" s="68" t="s">
        <v>190</v>
      </c>
      <c r="J3" s="176" t="s">
        <v>191</v>
      </c>
      <c r="K3" s="176" t="s">
        <v>192</v>
      </c>
      <c r="L3" s="176" t="s">
        <v>193</v>
      </c>
      <c r="M3" s="177" t="s">
        <v>128</v>
      </c>
      <c r="N3" s="177" t="s">
        <v>26</v>
      </c>
      <c r="O3" s="177" t="s">
        <v>129</v>
      </c>
      <c r="P3" s="152" t="s">
        <v>26</v>
      </c>
      <c r="Q3" s="152" t="s">
        <v>130</v>
      </c>
      <c r="R3" s="68" t="s">
        <v>17</v>
      </c>
      <c r="S3" s="175"/>
      <c r="T3" s="178" t="n">
        <v>46133</v>
      </c>
      <c r="U3" s="68" t="s">
        <v>186</v>
      </c>
      <c r="V3" s="174" t="s">
        <v>194</v>
      </c>
      <c r="W3" s="175"/>
    </row>
    <row r="4" customFormat="false" ht="108.75" hidden="false" customHeight="true" outlineLevel="0" collapsed="false">
      <c r="A4" s="147" t="n">
        <f aca="false">ROW(A3)</f>
        <v>3</v>
      </c>
      <c r="B4" s="148" t="s">
        <v>47</v>
      </c>
      <c r="C4" s="149" t="s">
        <v>195</v>
      </c>
      <c r="D4" s="66" t="s">
        <v>53</v>
      </c>
      <c r="E4" s="151" t="s">
        <v>54</v>
      </c>
      <c r="F4" s="175" t="s">
        <v>180</v>
      </c>
      <c r="G4" s="152" t="s">
        <v>50</v>
      </c>
      <c r="H4" s="68" t="s">
        <v>196</v>
      </c>
      <c r="I4" s="68" t="s">
        <v>197</v>
      </c>
      <c r="J4" s="177" t="s">
        <v>198</v>
      </c>
      <c r="K4" s="177" t="s">
        <v>199</v>
      </c>
      <c r="L4" s="176" t="s">
        <v>200</v>
      </c>
      <c r="M4" s="177" t="s">
        <v>138</v>
      </c>
      <c r="N4" s="177" t="s">
        <v>26</v>
      </c>
      <c r="O4" s="177" t="s">
        <v>129</v>
      </c>
      <c r="P4" s="152" t="s">
        <v>26</v>
      </c>
      <c r="Q4" s="152" t="s">
        <v>130</v>
      </c>
      <c r="R4" s="68"/>
      <c r="S4" s="175"/>
      <c r="T4" s="178"/>
      <c r="U4" s="68"/>
      <c r="V4" s="175"/>
      <c r="W4" s="175"/>
    </row>
    <row r="5" customFormat="false" ht="108.75" hidden="false" customHeight="true" outlineLevel="0" collapsed="false">
      <c r="A5" s="147" t="n">
        <f aca="false">ROW(A4)</f>
        <v>4</v>
      </c>
      <c r="B5" s="148" t="s">
        <v>47</v>
      </c>
      <c r="C5" s="149" t="s">
        <v>201</v>
      </c>
      <c r="D5" s="66" t="s">
        <v>53</v>
      </c>
      <c r="E5" s="151" t="s">
        <v>54</v>
      </c>
      <c r="F5" s="175" t="s">
        <v>180</v>
      </c>
      <c r="G5" s="152" t="s">
        <v>50</v>
      </c>
      <c r="H5" s="68" t="s">
        <v>202</v>
      </c>
      <c r="I5" s="68" t="s">
        <v>203</v>
      </c>
      <c r="J5" s="177" t="s">
        <v>204</v>
      </c>
      <c r="K5" s="177" t="s">
        <v>199</v>
      </c>
      <c r="L5" s="176" t="s">
        <v>205</v>
      </c>
      <c r="M5" s="177" t="s">
        <v>138</v>
      </c>
      <c r="N5" s="177" t="s">
        <v>26</v>
      </c>
      <c r="O5" s="177" t="s">
        <v>129</v>
      </c>
      <c r="P5" s="152" t="s">
        <v>26</v>
      </c>
      <c r="Q5" s="152" t="s">
        <v>130</v>
      </c>
      <c r="R5" s="68" t="s">
        <v>17</v>
      </c>
      <c r="S5" s="175"/>
      <c r="T5" s="178" t="n">
        <v>46133</v>
      </c>
      <c r="U5" s="68" t="s">
        <v>186</v>
      </c>
      <c r="V5" s="174" t="s">
        <v>206</v>
      </c>
      <c r="W5" s="175"/>
    </row>
    <row r="6" customFormat="false" ht="108.75" hidden="false" customHeight="true" outlineLevel="0" collapsed="false">
      <c r="A6" s="147" t="n">
        <f aca="false">ROW(A5)</f>
        <v>5</v>
      </c>
      <c r="B6" s="148" t="s">
        <v>47</v>
      </c>
      <c r="C6" s="149" t="s">
        <v>207</v>
      </c>
      <c r="D6" s="150" t="s">
        <v>208</v>
      </c>
      <c r="E6" s="151" t="s">
        <v>56</v>
      </c>
      <c r="F6" s="175" t="s">
        <v>180</v>
      </c>
      <c r="G6" s="152" t="s">
        <v>50</v>
      </c>
      <c r="H6" s="176" t="s">
        <v>209</v>
      </c>
      <c r="I6" s="176" t="s">
        <v>210</v>
      </c>
      <c r="J6" s="176" t="s">
        <v>211</v>
      </c>
      <c r="K6" s="176" t="s">
        <v>212</v>
      </c>
      <c r="L6" s="176" t="s">
        <v>213</v>
      </c>
      <c r="M6" s="177" t="s">
        <v>128</v>
      </c>
      <c r="N6" s="177" t="s">
        <v>25</v>
      </c>
      <c r="O6" s="177" t="s">
        <v>164</v>
      </c>
      <c r="P6" s="152" t="s">
        <v>26</v>
      </c>
      <c r="Q6" s="152" t="s">
        <v>130</v>
      </c>
      <c r="R6" s="68" t="s">
        <v>17</v>
      </c>
      <c r="S6" s="175"/>
      <c r="T6" s="178" t="n">
        <v>46133</v>
      </c>
      <c r="U6" s="68" t="s">
        <v>186</v>
      </c>
      <c r="V6" s="174" t="s">
        <v>214</v>
      </c>
      <c r="W6" s="175"/>
    </row>
    <row r="7" customFormat="false" ht="108.75" hidden="false" customHeight="true" outlineLevel="0" collapsed="false">
      <c r="A7" s="147" t="n">
        <f aca="false">ROW(A6)</f>
        <v>6</v>
      </c>
      <c r="B7" s="148" t="s">
        <v>47</v>
      </c>
      <c r="C7" s="149" t="s">
        <v>215</v>
      </c>
      <c r="D7" s="150" t="s">
        <v>208</v>
      </c>
      <c r="E7" s="151" t="s">
        <v>56</v>
      </c>
      <c r="F7" s="175" t="s">
        <v>180</v>
      </c>
      <c r="G7" s="152" t="s">
        <v>50</v>
      </c>
      <c r="H7" s="176" t="s">
        <v>216</v>
      </c>
      <c r="I7" s="176" t="s">
        <v>210</v>
      </c>
      <c r="J7" s="176" t="s">
        <v>217</v>
      </c>
      <c r="K7" s="176" t="s">
        <v>218</v>
      </c>
      <c r="L7" s="176" t="s">
        <v>219</v>
      </c>
      <c r="M7" s="177" t="s">
        <v>138</v>
      </c>
      <c r="N7" s="177" t="s">
        <v>25</v>
      </c>
      <c r="O7" s="177" t="s">
        <v>164</v>
      </c>
      <c r="P7" s="152" t="s">
        <v>26</v>
      </c>
      <c r="Q7" s="152" t="s">
        <v>130</v>
      </c>
      <c r="R7" s="68" t="s">
        <v>17</v>
      </c>
      <c r="S7" s="175"/>
      <c r="T7" s="178" t="n">
        <v>46133</v>
      </c>
      <c r="U7" s="68" t="s">
        <v>186</v>
      </c>
      <c r="V7" s="174" t="s">
        <v>220</v>
      </c>
      <c r="W7" s="175"/>
    </row>
    <row r="8" customFormat="false" ht="108.75" hidden="false" customHeight="true" outlineLevel="0" collapsed="false">
      <c r="A8" s="147" t="n">
        <f aca="false">ROW(A7)</f>
        <v>7</v>
      </c>
      <c r="B8" s="148" t="s">
        <v>47</v>
      </c>
      <c r="C8" s="149" t="s">
        <v>221</v>
      </c>
      <c r="D8" s="150" t="s">
        <v>208</v>
      </c>
      <c r="E8" s="151" t="s">
        <v>56</v>
      </c>
      <c r="F8" s="175" t="s">
        <v>180</v>
      </c>
      <c r="G8" s="152" t="s">
        <v>50</v>
      </c>
      <c r="H8" s="176" t="s">
        <v>222</v>
      </c>
      <c r="I8" s="176" t="s">
        <v>210</v>
      </c>
      <c r="J8" s="176" t="s">
        <v>223</v>
      </c>
      <c r="K8" s="176" t="s">
        <v>224</v>
      </c>
      <c r="L8" s="176" t="s">
        <v>225</v>
      </c>
      <c r="M8" s="177" t="s">
        <v>138</v>
      </c>
      <c r="N8" s="177" t="s">
        <v>25</v>
      </c>
      <c r="O8" s="177" t="s">
        <v>164</v>
      </c>
      <c r="P8" s="152" t="s">
        <v>26</v>
      </c>
      <c r="Q8" s="152" t="s">
        <v>130</v>
      </c>
      <c r="R8" s="68" t="s">
        <v>17</v>
      </c>
      <c r="S8" s="175"/>
      <c r="T8" s="178" t="n">
        <v>46133</v>
      </c>
      <c r="U8" s="68" t="s">
        <v>186</v>
      </c>
      <c r="V8" s="174" t="s">
        <v>226</v>
      </c>
      <c r="W8" s="175"/>
    </row>
    <row r="9" customFormat="false" ht="108.75" hidden="false" customHeight="true" outlineLevel="0" collapsed="false">
      <c r="A9" s="147" t="n">
        <f aca="false">ROW(A8)</f>
        <v>8</v>
      </c>
      <c r="B9" s="148" t="s">
        <v>47</v>
      </c>
      <c r="C9" s="149" t="s">
        <v>227</v>
      </c>
      <c r="D9" s="150" t="s">
        <v>208</v>
      </c>
      <c r="E9" s="151" t="s">
        <v>56</v>
      </c>
      <c r="F9" s="175" t="s">
        <v>180</v>
      </c>
      <c r="G9" s="152" t="s">
        <v>50</v>
      </c>
      <c r="H9" s="176" t="s">
        <v>228</v>
      </c>
      <c r="I9" s="176" t="s">
        <v>229</v>
      </c>
      <c r="J9" s="176" t="s">
        <v>223</v>
      </c>
      <c r="K9" s="176" t="s">
        <v>224</v>
      </c>
      <c r="L9" s="176" t="s">
        <v>230</v>
      </c>
      <c r="M9" s="177" t="s">
        <v>138</v>
      </c>
      <c r="N9" s="177" t="s">
        <v>25</v>
      </c>
      <c r="O9" s="177" t="s">
        <v>164</v>
      </c>
      <c r="P9" s="152" t="s">
        <v>26</v>
      </c>
      <c r="Q9" s="152" t="s">
        <v>130</v>
      </c>
      <c r="R9" s="68" t="s">
        <v>17</v>
      </c>
      <c r="S9" s="175"/>
      <c r="T9" s="178" t="n">
        <v>46133</v>
      </c>
      <c r="U9" s="68" t="s">
        <v>186</v>
      </c>
      <c r="V9" s="174" t="s">
        <v>231</v>
      </c>
      <c r="W9" s="175"/>
    </row>
    <row r="10" customFormat="false" ht="108.75" hidden="false" customHeight="true" outlineLevel="0" collapsed="false">
      <c r="A10" s="147" t="n">
        <f aca="false">ROW(A9)</f>
        <v>9</v>
      </c>
      <c r="B10" s="148" t="s">
        <v>47</v>
      </c>
      <c r="C10" s="149" t="s">
        <v>232</v>
      </c>
      <c r="D10" s="150" t="s">
        <v>208</v>
      </c>
      <c r="E10" s="151" t="s">
        <v>56</v>
      </c>
      <c r="F10" s="175" t="s">
        <v>180</v>
      </c>
      <c r="G10" s="152" t="s">
        <v>50</v>
      </c>
      <c r="H10" s="176" t="s">
        <v>233</v>
      </c>
      <c r="I10" s="176" t="s">
        <v>234</v>
      </c>
      <c r="J10" s="176" t="s">
        <v>223</v>
      </c>
      <c r="K10" s="176" t="s">
        <v>224</v>
      </c>
      <c r="L10" s="176" t="s">
        <v>230</v>
      </c>
      <c r="M10" s="177" t="s">
        <v>138</v>
      </c>
      <c r="N10" s="177" t="s">
        <v>25</v>
      </c>
      <c r="O10" s="177" t="s">
        <v>164</v>
      </c>
      <c r="P10" s="152" t="s">
        <v>26</v>
      </c>
      <c r="Q10" s="152" t="s">
        <v>130</v>
      </c>
      <c r="R10" s="68"/>
      <c r="S10" s="175"/>
      <c r="T10" s="178"/>
      <c r="U10" s="68"/>
      <c r="V10" s="175"/>
      <c r="W10" s="175"/>
    </row>
    <row r="11" customFormat="false" ht="108.75" hidden="false" customHeight="true" outlineLevel="0" collapsed="false">
      <c r="A11" s="147" t="n">
        <f aca="false">ROW(A10)</f>
        <v>10</v>
      </c>
      <c r="B11" s="148" t="s">
        <v>47</v>
      </c>
      <c r="C11" s="149" t="s">
        <v>235</v>
      </c>
      <c r="D11" s="150" t="s">
        <v>208</v>
      </c>
      <c r="E11" s="151" t="s">
        <v>56</v>
      </c>
      <c r="F11" s="175" t="s">
        <v>180</v>
      </c>
      <c r="G11" s="152" t="s">
        <v>50</v>
      </c>
      <c r="H11" s="176" t="s">
        <v>236</v>
      </c>
      <c r="I11" s="176" t="s">
        <v>210</v>
      </c>
      <c r="J11" s="176" t="s">
        <v>237</v>
      </c>
      <c r="K11" s="176" t="s">
        <v>238</v>
      </c>
      <c r="L11" s="176" t="s">
        <v>239</v>
      </c>
      <c r="M11" s="177" t="s">
        <v>138</v>
      </c>
      <c r="N11" s="177" t="s">
        <v>25</v>
      </c>
      <c r="O11" s="177" t="s">
        <v>164</v>
      </c>
      <c r="P11" s="152" t="s">
        <v>26</v>
      </c>
      <c r="Q11" s="152" t="s">
        <v>130</v>
      </c>
      <c r="R11" s="68" t="s">
        <v>17</v>
      </c>
      <c r="S11" s="175"/>
      <c r="T11" s="178" t="n">
        <v>46133</v>
      </c>
      <c r="U11" s="68" t="s">
        <v>186</v>
      </c>
      <c r="V11" s="174" t="s">
        <v>240</v>
      </c>
      <c r="W11" s="175"/>
    </row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conditionalFormatting sqref="R1:R184">
    <cfRule type="containsText" priority="2" operator="containsText" aboveAverage="0" equalAverage="0" bottom="0" percent="0" rank="0" text="Failed" dxfId="20">
      <formula>NOT(ISERROR(SEARCH("Failed",R1)))</formula>
    </cfRule>
    <cfRule type="containsText" priority="3" operator="containsText" aboveAverage="0" equalAverage="0" bottom="0" percent="0" rank="0" text="Passed" dxfId="21">
      <formula>NOT(ISERROR(SEARCH("Passed",R1)))</formula>
    </cfRule>
    <cfRule type="containsText" priority="4" operator="containsText" aboveAverage="0" equalAverage="0" bottom="0" percent="0" rank="0" text="NA" dxfId="22">
      <formula>NOT(ISERROR(SEARCH("NA",R1)))</formula>
    </cfRule>
    <cfRule type="containsText" priority="5" operator="containsText" aboveAverage="0" equalAverage="0" bottom="0" percent="0" rank="0" text="Not Tested" dxfId="23">
      <formula>NOT(ISERROR(SEARCH("Not Tested",R1)))</formula>
    </cfRule>
    <cfRule type="containsText" priority="6" operator="containsText" aboveAverage="0" equalAverage="0" bottom="0" percent="0" rank="0" text="Blocked" dxfId="24">
      <formula>NOT(ISERROR(SEARCH("Blocked",R1)))</formula>
    </cfRule>
  </conditionalFormatting>
  <conditionalFormatting sqref="M12:M184 O12:O184">
    <cfRule type="cellIs" priority="7" operator="equal" aboveAverage="0" equalAverage="0" bottom="0" percent="0" rank="0" text="" dxfId="25">
      <formula>"Blocked"</formula>
    </cfRule>
    <cfRule type="cellIs" priority="8" operator="equal" aboveAverage="0" equalAverage="0" bottom="0" percent="0" rank="0" text="" dxfId="26">
      <formula>"NA"</formula>
    </cfRule>
    <cfRule type="cellIs" priority="9" operator="equal" aboveAverage="0" equalAverage="0" bottom="0" percent="0" rank="0" text="" dxfId="27">
      <formula>"Failed"</formula>
    </cfRule>
    <cfRule type="cellIs" priority="10" operator="equal" aboveAverage="0" equalAverage="0" bottom="0" percent="0" rank="0" text="" dxfId="28">
      <formula>"Passed"</formula>
    </cfRule>
  </conditionalFormatting>
  <dataValidations count="9">
    <dataValidation allowBlank="true" errorStyle="stop" operator="between" showDropDown="false" showErrorMessage="true" showInputMessage="false" sqref="Q12:Q184" type="list">
      <formula1>"Functional,UI"</formula1>
      <formula2>0</formula2>
    </dataValidation>
    <dataValidation allowBlank="true" errorStyle="stop" operator="between" showDropDown="false" showErrorMessage="true" showInputMessage="false" sqref="P12:P184" type="list">
      <formula1>"Low,Medium,High"</formula1>
      <formula2>0</formula2>
    </dataValidation>
    <dataValidation allowBlank="true" errorStyle="stop" operator="between" showDropDown="false" showErrorMessage="true" showInputMessage="false" sqref="O12:O184" type="list">
      <formula1>"Trivial,Minor,Normal,Major,Critical,Blocker"</formula1>
      <formula2>0</formula2>
    </dataValidation>
    <dataValidation allowBlank="true" errorStyle="stop" operator="between" showDropDown="false" showErrorMessage="true" showInputMessage="false" sqref="N12:N184" type="list">
      <formula1>"Low,Medium,High,Critical"</formula1>
      <formula2>0</formula2>
    </dataValidation>
    <dataValidation allowBlank="true" errorStyle="stop" operator="between" showDropDown="false" showErrorMessage="true" showInputMessage="false" sqref="M12:M184" type="list">
      <formula1>"Positive,Negative"</formula1>
      <formula2>0</formula2>
    </dataValidation>
    <dataValidation allowBlank="true" errorStyle="stop" operator="between" showDropDown="true" showErrorMessage="false" showInputMessage="false" sqref="T2:T11" type="custom">
      <formula1>OR(NOT(ISERROR(DATEVALUE(#REF!))), AND(ISNUMBER(#REF!), LEFT(CELL("format", #REF!))="D"))</formula1>
      <formula2>0</formula2>
    </dataValidation>
    <dataValidation allowBlank="true" errorStyle="stop" operator="between" showDropDown="false" showErrorMessage="true" showInputMessage="false" sqref="R2:R184" type="list">
      <formula1>"Passed,Failed,NA,Blocked,Not Tested"</formula1>
      <formula2>0</formula2>
    </dataValidation>
    <dataValidation allowBlank="true" errorStyle="stop" operator="between" showDropDown="false" showErrorMessage="true" showInputMessage="false" sqref="B2:B184" type="list">
      <formula1>"Sprint 5.1,Sprint 5.2"</formula1>
      <formula2>0</formula2>
    </dataValidation>
    <dataValidation allowBlank="true" errorStyle="stop" operator="between" showDropDown="false" showErrorMessage="true" showInputMessage="false" sqref="U1:U1011" type="list">
      <formula1>"Meriyan Dwi Prakosa,Rafif Imam,Shabrina Rahmah,Miftha"</formula1>
      <formula2>0</formula2>
    </dataValidation>
  </dataValidations>
  <hyperlinks>
    <hyperlink ref="V2" r:id="rId2" display="PIC Org TC ID 222.mp4"/>
    <hyperlink ref="V3" r:id="rId3" display="PIC Org TC ID 223.mp4"/>
    <hyperlink ref="V5" r:id="rId4" display="PIC Org TC ID 225.mp4"/>
    <hyperlink ref="V6" r:id="rId5" display="PIC Org TC ID 226.mp4"/>
    <hyperlink ref="V7" r:id="rId6" display="PIC Org TC ID 227.mp4"/>
    <hyperlink ref="V8" r:id="rId7" display="PIC Org TC ID 228.mp4"/>
    <hyperlink ref="V9" r:id="rId8" display="PIC Org TC ID 229.mp4"/>
    <hyperlink ref="V11" r:id="rId9" display="PIC Org TC ID 231.mp4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10"/>
  <tableParts>
    <tablePart r:id="rId1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78" zoomScaleNormal="78" zoomScalePageLayoutView="100" workbookViewId="0">
      <selection pane="topLeft" activeCell="D20" activeCellId="0" sqref="D20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32"/>
    <col collapsed="false" customWidth="true" hidden="false" outlineLevel="0" max="22" min="3" style="0" width="8.86"/>
  </cols>
  <sheetData>
    <row r="1" customFormat="false" ht="18" hidden="false" customHeight="true" outlineLevel="0" collapsed="false">
      <c r="A1" s="16" t="s">
        <v>241</v>
      </c>
      <c r="B1" s="16" t="s">
        <v>242</v>
      </c>
    </row>
    <row r="2" customFormat="false" ht="18" hidden="false" customHeight="true" outlineLevel="0" collapsed="false">
      <c r="A2" s="16"/>
      <c r="B2" s="16" t="s">
        <v>243</v>
      </c>
    </row>
    <row r="3" customFormat="false" ht="18" hidden="false" customHeight="true" outlineLevel="0" collapsed="false">
      <c r="A3" s="16"/>
      <c r="B3" s="16" t="s">
        <v>244</v>
      </c>
    </row>
    <row r="4" customFormat="false" ht="18" hidden="false" customHeight="true" outlineLevel="0" collapsed="false">
      <c r="A4" s="16" t="s">
        <v>245</v>
      </c>
      <c r="B4" s="16" t="s">
        <v>246</v>
      </c>
    </row>
    <row r="5" customFormat="false" ht="18" hidden="false" customHeight="true" outlineLevel="0" collapsed="false">
      <c r="A5" s="16" t="s">
        <v>247</v>
      </c>
      <c r="B5" s="16" t="s">
        <v>248</v>
      </c>
    </row>
    <row r="6" customFormat="false" ht="18" hidden="false" customHeight="true" outlineLevel="0" collapsed="false">
      <c r="A6" s="16" t="s">
        <v>249</v>
      </c>
      <c r="B6" s="16" t="s">
        <v>250</v>
      </c>
    </row>
    <row r="8" customFormat="false" ht="18" hidden="false" customHeight="true" outlineLevel="0" collapsed="false">
      <c r="A8" s="179" t="s">
        <v>251</v>
      </c>
      <c r="B8" s="179"/>
    </row>
    <row r="9" customFormat="false" ht="18" hidden="false" customHeight="true" outlineLevel="0" collapsed="false">
      <c r="A9" s="180" t="s">
        <v>252</v>
      </c>
      <c r="B9" s="16" t="s">
        <v>253</v>
      </c>
    </row>
    <row r="10" customFormat="false" ht="18" hidden="false" customHeight="true" outlineLevel="0" collapsed="false">
      <c r="A10" s="180" t="s">
        <v>62</v>
      </c>
      <c r="B10" s="16" t="s">
        <v>254</v>
      </c>
    </row>
    <row r="11" customFormat="false" ht="18" hidden="false" customHeight="true" outlineLevel="0" collapsed="false">
      <c r="A11" s="180" t="s">
        <v>255</v>
      </c>
      <c r="B11" s="16" t="s">
        <v>256</v>
      </c>
    </row>
    <row r="12" customFormat="false" ht="18" hidden="false" customHeight="true" outlineLevel="0" collapsed="false">
      <c r="A12" s="180" t="s">
        <v>257</v>
      </c>
      <c r="B12" s="16" t="s">
        <v>258</v>
      </c>
    </row>
    <row r="13" customFormat="false" ht="18" hidden="false" customHeight="true" outlineLevel="0" collapsed="false">
      <c r="A13" s="180" t="s">
        <v>259</v>
      </c>
      <c r="B13" s="16" t="s">
        <v>260</v>
      </c>
    </row>
    <row r="14" customFormat="false" ht="18" hidden="false" customHeight="true" outlineLevel="0" collapsed="false">
      <c r="A14" s="180" t="s">
        <v>261</v>
      </c>
      <c r="B14" s="16" t="s">
        <v>262</v>
      </c>
    </row>
    <row r="15" customFormat="false" ht="18" hidden="false" customHeight="true" outlineLevel="0" collapsed="false">
      <c r="A15" s="180" t="s">
        <v>263</v>
      </c>
      <c r="B15" s="16" t="s">
        <v>264</v>
      </c>
    </row>
    <row r="16" customFormat="false" ht="18" hidden="false" customHeight="true" outlineLevel="0" collapsed="false">
      <c r="A16" s="180" t="s">
        <v>265</v>
      </c>
      <c r="B16" s="16" t="s">
        <v>266</v>
      </c>
    </row>
    <row r="17" customFormat="false" ht="18" hidden="false" customHeight="true" outlineLevel="0" collapsed="false">
      <c r="A17" s="180" t="s">
        <v>267</v>
      </c>
      <c r="B17" s="16" t="s">
        <v>268</v>
      </c>
    </row>
    <row r="18" customFormat="false" ht="18" hidden="false" customHeight="true" outlineLevel="0" collapsed="false">
      <c r="A18" s="180" t="s">
        <v>269</v>
      </c>
      <c r="B18" s="16" t="s">
        <v>270</v>
      </c>
    </row>
    <row r="19" customFormat="false" ht="18" hidden="false" customHeight="true" outlineLevel="0" collapsed="false">
      <c r="A19" s="180" t="s">
        <v>64</v>
      </c>
      <c r="B19" s="16" t="s">
        <v>271</v>
      </c>
    </row>
    <row r="20" customFormat="false" ht="18" hidden="false" customHeight="true" outlineLevel="0" collapsed="false">
      <c r="A20" s="180" t="s">
        <v>272</v>
      </c>
      <c r="B20" s="16" t="s">
        <v>273</v>
      </c>
    </row>
    <row r="21" customFormat="false" ht="18" hidden="false" customHeight="true" outlineLevel="0" collapsed="false">
      <c r="A21" s="180" t="s">
        <v>274</v>
      </c>
      <c r="B21" s="16" t="s">
        <v>275</v>
      </c>
    </row>
    <row r="22" customFormat="false" ht="15.75" hidden="false" customHeight="true" outlineLevel="0" collapsed="false"/>
    <row r="23" customFormat="false" ht="18.75" hidden="false" customHeight="true" outlineLevel="0" collapsed="false">
      <c r="A23" s="179" t="s">
        <v>276</v>
      </c>
      <c r="B23" s="179"/>
    </row>
    <row r="24" customFormat="false" ht="18.75" hidden="false" customHeight="true" outlineLevel="0" collapsed="false">
      <c r="A24" s="181" t="s">
        <v>62</v>
      </c>
      <c r="B24" s="100" t="s">
        <v>277</v>
      </c>
    </row>
    <row r="25" customFormat="false" ht="18.75" hidden="false" customHeight="true" outlineLevel="0" collapsed="false">
      <c r="A25" s="181" t="s">
        <v>259</v>
      </c>
      <c r="B25" s="100" t="s">
        <v>278</v>
      </c>
    </row>
    <row r="26" customFormat="false" ht="18.75" hidden="false" customHeight="true" outlineLevel="0" collapsed="false">
      <c r="A26" s="181" t="s">
        <v>279</v>
      </c>
      <c r="B26" s="16" t="s">
        <v>280</v>
      </c>
    </row>
    <row r="27" customFormat="false" ht="18.75" hidden="false" customHeight="true" outlineLevel="0" collapsed="false">
      <c r="A27" s="181" t="s">
        <v>281</v>
      </c>
      <c r="B27" s="16" t="s">
        <v>282</v>
      </c>
    </row>
    <row r="28" customFormat="false" ht="18.75" hidden="false" customHeight="true" outlineLevel="0" collapsed="false">
      <c r="A28" s="181" t="s">
        <v>283</v>
      </c>
      <c r="B28" s="16" t="s">
        <v>284</v>
      </c>
    </row>
    <row r="29" customFormat="false" ht="18.75" hidden="false" customHeight="true" outlineLevel="0" collapsed="false">
      <c r="A29" s="181" t="s">
        <v>274</v>
      </c>
      <c r="B29" s="16" t="s">
        <v>285</v>
      </c>
    </row>
    <row r="34" customFormat="false" ht="15" hidden="false" customHeight="true" outlineLevel="0" collapsed="false">
      <c r="E34" s="182" t="e">
        <f aca="false">COUNTIF(#REF!,"Rafif*")
+COUNTIF(#REF!,"Rafif*")</f>
        <v>#REF!</v>
      </c>
    </row>
  </sheetData>
  <mergeCells count="2">
    <mergeCell ref="A8:B8"/>
    <mergeCell ref="A23:B2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</TotalTime>
  <Application>LibreOffice/25.8.6.2$Linux_X86_64 LibreOffice_project/a46b460d1686bb49c718d2ef5f88b83ff2dc4981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2026-02-10T09:28:53Z</dcterms:created>
  <dc:creator/>
  <dc:description/>
  <dc:language>en-US</dc:language>
  <cp:lastModifiedBy/>
  <dcterms:modified xsi:type="dcterms:W3CDTF">2026-04-24T23:36:58Z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